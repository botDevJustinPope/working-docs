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botDevJustinPope\working-docs\Story Notes\ganntChart\"/>
    </mc:Choice>
  </mc:AlternateContent>
  <xr:revisionPtr revIDLastSave="0" documentId="13_ncr:1_{9D269CAF-797D-45AD-8B65-DF5BF205D808}" xr6:coauthVersionLast="47" xr6:coauthVersionMax="47" xr10:uidLastSave="{00000000-0000-0000-0000-000000000000}"/>
  <bookViews>
    <workbookView xWindow="-38510" yWindow="-11770" windowWidth="38620" windowHeight="21100" activeTab="2" xr2:uid="{01A5510E-9F78-46D8-929B-F4F0E06716E2}"/>
  </bookViews>
  <sheets>
    <sheet name="Gannt_11052025_11182025" sheetId="1" r:id="rId1"/>
    <sheet name="DirectQuery_11052025_11182025" sheetId="3" r:id="rId2"/>
    <sheet name="Sheet2" sheetId="5" r:id="rId3"/>
    <sheet name="VSTS_ValidationWS_1" sheetId="4" state="veryHidden" r:id="rId4"/>
  </sheets>
  <definedNames>
    <definedName name="VSTS_3e70086c_f553_49d1_81be_7ca3114b6431_1" hidden="1">DirectQuery_11052025_11182025!$C$2:$C$87</definedName>
    <definedName name="VSTS_3e70086c_f553_49d1_81be_7ca3114b6431_25" hidden="1">DirectQuery_11052025_11182025!$B$2:$B$87</definedName>
    <definedName name="VSTS_3e70086c_f553_49d1_81be_7ca3114b6431_80" hidden="1">DirectQuery_11052025_11182025!$D$2:$D$87</definedName>
    <definedName name="VSTS_3e70086c_f553_49d1_81be_7ca3114b6431_97817" hidden="1">DirectQuery_11052025_11182025!$E$2:$E$87</definedName>
    <definedName name="VSTS_3e70086c_f553_49d1_81be_7ca3114b6431_97818" hidden="1">DirectQuery_11052025_11182025!$F$2:$F$87</definedName>
    <definedName name="VSTS_3e70086c_f553_49d1_81be_7ca3114b6431_97820" hidden="1">DirectQuery_11052025_11182025!$G$2:$G$87</definedName>
    <definedName name="VSTS_3e70086c_f553_49d1_81be_7ca3114b6431_n3" hidden="1">DirectQuery_11052025_11182025!$A$2:$A$87</definedName>
    <definedName name="VSTS_3e70086c_f553_49d1_81be_7ca3114b6431_n35" hidden="1">DirectQuery_11052025_11182025!$H$2:$H$87</definedName>
    <definedName name="VSTS_ValidationRange_138d92ccf9e24df6887222c0a4d74246" hidden="1">VSTS_ValidationWS_1!$A$1</definedName>
    <definedName name="VSTS_ValidationRange_3309bddc71c64dd798939236ab2ec144" hidden="1">VSTS_ValidationWS_1!$I$1:$I$8</definedName>
    <definedName name="VSTS_ValidationRange_3a5cf761cfe34593a3f3ce210db80bb5" hidden="1">VSTS_ValidationWS_1!$C$1</definedName>
    <definedName name="VSTS_ValidationRange_51b7b9b0c7ee4bd5a447a1ad18f117bf" hidden="1">VSTS_ValidationWS_1!$E$1:$E$6</definedName>
    <definedName name="VSTS_ValidationRange_6f5fca6b077d4b33ae2d7e1cdb5b74fa" hidden="1">VSTS_ValidationWS_1!$J$1:$J$7</definedName>
    <definedName name="VSTS_ValidationRange_8105d8bb9393468e826b60ce4aa5bc39" hidden="1">VSTS_ValidationWS_1!$D$1</definedName>
    <definedName name="VSTS_ValidationRange_9e8d4f2993ca4eeca4a7016de3fcc750" hidden="1">VSTS_ValidationWS_1!$B$1</definedName>
    <definedName name="VSTS_ValidationRange_d7f422b27751449fa6b3e1782a3a29bb" hidden="1">VSTS_ValidationWS_1!$H$1:$H$7</definedName>
    <definedName name="VSTS_ValidationRange_e9a9d21e4b5849b9928a3e182c96c1f9" hidden="1">VSTS_ValidationWS_1!$F$1:$F$6</definedName>
    <definedName name="VSTS_ValidationRange_f7d5519349f840f6bb20841e1beb72e3" hidden="1">VSTS_ValidationWS_1!$G$1:$G$144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5" i="1"/>
  <c r="C6" i="1"/>
  <c r="C7" i="1"/>
  <c r="C8" i="1"/>
  <c r="C9" i="1"/>
  <c r="C10" i="1"/>
  <c r="C11" i="1"/>
  <c r="C12" i="1"/>
  <c r="C13" i="1"/>
  <c r="C5" i="1"/>
  <c r="B6" i="1"/>
  <c r="B7" i="1"/>
  <c r="B8" i="1"/>
  <c r="B9" i="1"/>
  <c r="B10" i="1"/>
  <c r="B11" i="1"/>
  <c r="B12" i="1"/>
  <c r="B13" i="1"/>
  <c r="B5" i="1"/>
  <c r="A5" i="1" a="1"/>
  <c r="A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7AE5B9-AE85-4519-B026-F6287FCBCD18}" keepAlive="1" name="Query - 20251105_20251118_workitems" description="Connection to the '20251105_20251118_workitems' query in the workbook." type="5" refreshedVersion="8" background="1" saveData="1">
    <dbPr connection="Provider=Microsoft.Mashup.OleDb.1;Data Source=$Workbook$;Location=20251105_20251118_workitems;Extended Properties=&quot;&quot;" command="SELECT * FROM [20251105_20251118_workitem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<sst xmlns="http://schemas.openxmlformats.org/spreadsheetml/2006/main" count="440" uniqueCount="254">
  <si>
    <t>ID</t>
  </si>
  <si>
    <t>Work Item Type</t>
  </si>
  <si>
    <t>Title</t>
  </si>
  <si>
    <t>Tags</t>
  </si>
  <si>
    <t>Remaining Work</t>
  </si>
  <si>
    <t>Activity</t>
  </si>
  <si>
    <t>Parent</t>
  </si>
  <si>
    <t>Product Backlog Item</t>
  </si>
  <si>
    <t>Branding: Variablize font color for categories in option pricing</t>
  </si>
  <si>
    <t>branding</t>
  </si>
  <si>
    <t>Bug</t>
  </si>
  <si>
    <t>Design Selections: Image disparity</t>
  </si>
  <si>
    <t>Auth: Migrate Spike code to development branch</t>
  </si>
  <si>
    <t>Testing</t>
  </si>
  <si>
    <t>Auth; scripts</t>
  </si>
  <si>
    <t>Auth: Implement domain match policy</t>
  </si>
  <si>
    <t>Auth</t>
  </si>
  <si>
    <t>Auth: Okta user can authenticate to VDS</t>
  </si>
  <si>
    <t>Auth: display "user not provisioned" error message</t>
  </si>
  <si>
    <t>Interfacelift Training "3rd Party Authorization 2"</t>
  </si>
  <si>
    <t>No QA</t>
  </si>
  <si>
    <t>Task</t>
  </si>
  <si>
    <t>Justin Training</t>
  </si>
  <si>
    <t>Development</t>
  </si>
  <si>
    <t>Daniel Training</t>
  </si>
  <si>
    <t>Reid Training</t>
  </si>
  <si>
    <t>Write Test Cases</t>
  </si>
  <si>
    <t>Test Design</t>
  </si>
  <si>
    <t>RC for 11/10</t>
  </si>
  <si>
    <t>Regression Test: Today's Appts</t>
  </si>
  <si>
    <t>QA only</t>
  </si>
  <si>
    <t>Create and deploy RC</t>
  </si>
  <si>
    <t>Test RC in Staging</t>
  </si>
  <si>
    <t>Run e2e automated test in Staging</t>
  </si>
  <si>
    <t>Deployment Planning Meeting</t>
  </si>
  <si>
    <t>Write QA Tests</t>
  </si>
  <si>
    <t>Execute QA Tests</t>
  </si>
  <si>
    <t>PO Review</t>
  </si>
  <si>
    <t>Entity creation</t>
  </si>
  <si>
    <t>Run migration</t>
  </si>
  <si>
    <t>Confirmation Testing</t>
  </si>
  <si>
    <t>Update GetAuthProviders use case</t>
  </si>
  <si>
    <t>Validate JWTs</t>
  </si>
  <si>
    <t>Update the authenticate use case</t>
  </si>
  <si>
    <t>Script auth providers</t>
  </si>
  <si>
    <t>In the frontend, remove call to fetch all auth providers</t>
  </si>
  <si>
    <t>PR</t>
  </si>
  <si>
    <t>Update Postman collection for POST endpoint</t>
  </si>
  <si>
    <t>Write unit tests</t>
  </si>
  <si>
    <t>Developer Testing</t>
  </si>
  <si>
    <t>Create use case to fetch auth provider from email domain</t>
  </si>
  <si>
    <t>New endpoint</t>
  </si>
  <si>
    <t>Debounce logic on sign in screen and fetch providers</t>
  </si>
  <si>
    <t>Unit tests for new use case</t>
  </si>
  <si>
    <t>Update Postman collection</t>
  </si>
  <si>
    <t>Make UI look good in any reasonable case</t>
  </si>
  <si>
    <t>Test Plan</t>
  </si>
  <si>
    <t>3rd Party Authorization 2</t>
  </si>
  <si>
    <t>Test Suite</t>
  </si>
  <si>
    <t>Possible code changes</t>
  </si>
  <si>
    <t>Throw specified error when necessary in use case</t>
  </si>
  <si>
    <t>Respond to error in UI</t>
  </si>
  <si>
    <t>Find the bug</t>
  </si>
  <si>
    <t>Document to QA steps to eradicate bug</t>
  </si>
  <si>
    <t>Exterminate da bug</t>
  </si>
  <si>
    <t>Create new variable for option pricing menu text</t>
  </si>
  <si>
    <t>Create new variable for DMH and DS if necessary</t>
  </si>
  <si>
    <t>Map variables to palette slot</t>
  </si>
  <si>
    <t>Document changes</t>
  </si>
  <si>
    <t>Talk to Rob about Doofenshmirtz</t>
  </si>
  <si>
    <t>Update Postman Collection for GET endpoint</t>
  </si>
  <si>
    <t>Test Case</t>
  </si>
  <si>
    <t>Design</t>
  </si>
  <si>
    <t>Modify temporary password via VEO Admin</t>
  </si>
  <si>
    <t>Work item</t>
  </si>
  <si>
    <t>Name</t>
  </si>
  <si>
    <t>Estimated Work</t>
  </si>
  <si>
    <t>Data</t>
  </si>
  <si>
    <t>Original Estimate</t>
  </si>
  <si>
    <t>value doesn't matter</t>
  </si>
  <si>
    <t>readOnlyTestRange_@</t>
  </si>
  <si>
    <t>readOnlyTestRange_0</t>
  </si>
  <si>
    <t>readOnlyTestRange_M/d/yyyy h:mm AM/PM</t>
  </si>
  <si>
    <t>readOnlyTestRange_General</t>
  </si>
  <si>
    <t>\</t>
  </si>
  <si>
    <t>\Defects</t>
  </si>
  <si>
    <t>\Integration</t>
  </si>
  <si>
    <t>\Product Team</t>
  </si>
  <si>
    <t>\Product Team\Story Time</t>
  </si>
  <si>
    <t>\Requests</t>
  </si>
  <si>
    <t>all_VSTS_3e70086c_f553_49d1_81be_7ca3114b6431_System.AreaPath</t>
  </si>
  <si>
    <t>Deployment</t>
  </si>
  <si>
    <t>Documentation</t>
  </si>
  <si>
    <t>Requirements</t>
  </si>
  <si>
    <t>\Active</t>
  </si>
  <si>
    <t>\Active\Product Backlog</t>
  </si>
  <si>
    <t>\Active\Product Backlog\3rd Party Authorization 1</t>
  </si>
  <si>
    <t>\Active\Product Backlog\3rd Party Authorization 2</t>
  </si>
  <si>
    <t>\Active\Product Backlog\Assigned Communities 1</t>
  </si>
  <si>
    <t>\Active\Product Backlog\Assigned Communities 2</t>
  </si>
  <si>
    <t>\Active\Product Backlog\Branding - Flintrock</t>
  </si>
  <si>
    <t>\Active\Product Backlog\Branding Theme Editor 1</t>
  </si>
  <si>
    <t>\Active\Product Backlog\Branding Theme Editor 2</t>
  </si>
  <si>
    <t>\Active\Product Backlog\Branding Theme Editor 4</t>
  </si>
  <si>
    <t>\Active\Product Backlog\Branding Theme Editor 5</t>
  </si>
  <si>
    <t>\Active\Product Backlog\Branding Theme Editor 6</t>
  </si>
  <si>
    <t>\Active\Product Backlog\Branding Theme Editor 7</t>
  </si>
  <si>
    <t>\Active\Product Backlog\Branding Theme Version 3</t>
  </si>
  <si>
    <t>\Active\Product Backlog\Builder Branding - Foundation 1</t>
  </si>
  <si>
    <t>\Active\Product Backlog\Builder Branding - Foundation 2</t>
  </si>
  <si>
    <t>\Active\Product Backlog\Builder Branding 3</t>
  </si>
  <si>
    <t>\Active\Product Backlog\Builder Branding 4</t>
  </si>
  <si>
    <t>\Active\Product Backlog\Builder Option Codes 1</t>
  </si>
  <si>
    <t>\Active\Product Backlog\Builder Option Codes 2</t>
  </si>
  <si>
    <t>\Active\Product Backlog\Buyer Dashboard Improvements 1</t>
  </si>
  <si>
    <t>\Active\Product Backlog\Buyer Dashboard Improvements 2</t>
  </si>
  <si>
    <t>\Active\Product Backlog\Catalog Documents 1</t>
  </si>
  <si>
    <t>\Active\Product Backlog\Catalog Documents 2</t>
  </si>
  <si>
    <t>\Active\Product Backlog\Enhanced Categories 1</t>
  </si>
  <si>
    <t>\Active\Product Backlog\Front End Framework 1</t>
  </si>
  <si>
    <t>\Active\Product Backlog\Front End Framework 2</t>
  </si>
  <si>
    <t>\Active\Product Backlog\Front-End Framework Focus Sprint 1</t>
  </si>
  <si>
    <t>\Active\Product Backlog\Front-End Framework Focus Sprint 2</t>
  </si>
  <si>
    <t>\Active\Product Backlog\Lifestyle Survey 1</t>
  </si>
  <si>
    <t>\Active\Product Backlog\Lifestyle Survey 2</t>
  </si>
  <si>
    <t>\Active\Product Backlog\Manage Designers</t>
  </si>
  <si>
    <t>\Active\Product Backlog\Misc Work July 2024-1</t>
  </si>
  <si>
    <t>\Active\Product Backlog\Misc Work June 2024-1</t>
  </si>
  <si>
    <t>\Active\Product Backlog\Misc Work June 2024-2</t>
  </si>
  <si>
    <t>\Active\Product Backlog\Misc Work March 2024</t>
  </si>
  <si>
    <t>\Active\Product Backlog\Misc Work Nov-2024-A</t>
  </si>
  <si>
    <t>\Active\Product Backlog\Misc Work Oct-2024-A</t>
  </si>
  <si>
    <t>\Active\Product Backlog\Misc Work Oct-2024-B</t>
  </si>
  <si>
    <t>\Active\Product Backlog\VDS Sprint 11 Feb</t>
  </si>
  <si>
    <t>\Active\Product Backlog\VDS Sprint 11 Mar</t>
  </si>
  <si>
    <t>\Active\Product Backlog\VDS Sprint 14 Jan</t>
  </si>
  <si>
    <t>\Active\Product Backlog\VDS Sprint 17 Dec</t>
  </si>
  <si>
    <t>\Active\Product Backlog\VDS Sprint 19 Nov</t>
  </si>
  <si>
    <t>\Active\Product Backlog\VDS Sprint 25 Feb</t>
  </si>
  <si>
    <t>\Active\Product Backlog\VDS Sprint 25 Mar</t>
  </si>
  <si>
    <t>\Active\Product Backlog\VDS Sprint 28 Jan</t>
  </si>
  <si>
    <t>\Active\Product Backlog\VDS Sprint 3 Dec</t>
  </si>
  <si>
    <t>\Active\Product Backlog\Virtual Model Home 1</t>
  </si>
  <si>
    <t>\Active\Product Backlog\Virtual Model Home 2</t>
  </si>
  <si>
    <t>\Active\Product Backlog\Visualize Packages 1</t>
  </si>
  <si>
    <t>\Active\Product Backlog\Visualize Packages 2</t>
  </si>
  <si>
    <t>\Active\Product Backlog\Visualize Packages 3</t>
  </si>
  <si>
    <t>\Active\Product Backlog\Visualize Packages 4</t>
  </si>
  <si>
    <t>\Active\Product Backlog\Visualize Packages 5</t>
  </si>
  <si>
    <t>\Active\Product Backlog\Visualize Packages 6</t>
  </si>
  <si>
    <t>\Active\Product Backlog\Work Nov-2024-B</t>
  </si>
  <si>
    <t>\Active\Product Backlog\Work-Dec-2024-A</t>
  </si>
  <si>
    <t>\Active\Product Backlog\Work-Last 2024-First 2025</t>
  </si>
  <si>
    <t>\Archive</t>
  </si>
  <si>
    <t>\Archive\Collections</t>
  </si>
  <si>
    <t>\Archive\Collections\Collections - Increment 1</t>
  </si>
  <si>
    <t>\Archive\Collections\Collections - Increment 1\Collections Sprint 0</t>
  </si>
  <si>
    <t>\Archive\Collections\Collections - Increment 1\Collections Sprint 0.2</t>
  </si>
  <si>
    <t>\Archive\Collections\Collections - Increment 2</t>
  </si>
  <si>
    <t>\Archive\Integrations</t>
  </si>
  <si>
    <t>\Archive\Integrations\Ravenna</t>
  </si>
  <si>
    <t>\Archive\Integrations\Ravenna\Report Integration</t>
  </si>
  <si>
    <t>\Archive\Integrations\Taylor Morrison</t>
  </si>
  <si>
    <t>\Archive\Integrations\Taylor Morrison\Catalog Manipulation</t>
  </si>
  <si>
    <t>\Archive\Permissions</t>
  </si>
  <si>
    <t>\Archive\Permissions\DMH Improvements 2</t>
  </si>
  <si>
    <t>\Archive\Permissions\DMH Improvements 3</t>
  </si>
  <si>
    <t>\Archive\Permissions\Permissions 1</t>
  </si>
  <si>
    <t>\Archive\Permissions\Permissions 2</t>
  </si>
  <si>
    <t>\Archive\Permissions\Permissions 3</t>
  </si>
  <si>
    <t>\Archive\Permissions\Permissions 4</t>
  </si>
  <si>
    <t>\Archive\Permissions\VeoSolutions 1</t>
  </si>
  <si>
    <t>\Archive\Permissions\VeoSolutions 2</t>
  </si>
  <si>
    <t>\Archive\Permissions\VeoSolutions 3</t>
  </si>
  <si>
    <t>\Archive\Permissions\VeoSolutions 4</t>
  </si>
  <si>
    <t>\Archive\Permissions\Veosolutions 5</t>
  </si>
  <si>
    <t>\Archive\Permissions\VeoSolutions 6</t>
  </si>
  <si>
    <t>\Archive\PO Work January 2</t>
  </si>
  <si>
    <t>\Archive\Product Backlog</t>
  </si>
  <si>
    <t>\Archive\Product Backlog\2023 Sprint 1</t>
  </si>
  <si>
    <t>\Archive\Product Backlog\Appointment Confirmation</t>
  </si>
  <si>
    <t>\Archive\Product Backlog\Bug Fixes and Cleanup</t>
  </si>
  <si>
    <t>\Archive\Product Backlog\Bug Fixes and Cleanup 2</t>
  </si>
  <si>
    <t>\Archive\Product Backlog\Edit Quantity 1</t>
  </si>
  <si>
    <t>\Archive\Product Backlog\Edit Quantity 2</t>
  </si>
  <si>
    <t>\Archive\Product Backlog\Edit Quantity 3</t>
  </si>
  <si>
    <t>\Archive\Product Backlog\Embedded Visualizer 1</t>
  </si>
  <si>
    <t>\Archive\Product Backlog\Embedded Visualizer 2</t>
  </si>
  <si>
    <t>\Archive\Product Backlog\End of Year Sprint 2022</t>
  </si>
  <si>
    <t>\Archive\Product Backlog\Lay Direction</t>
  </si>
  <si>
    <t>\Archive\Product Backlog\Misc Work - Sept 2023</t>
  </si>
  <si>
    <t>\Archive\Product Backlog\Misc Work December 2023 (sprint 1)</t>
  </si>
  <si>
    <t>\Archive\Product Backlog\Misc Work December 2023 (sprint 2)</t>
  </si>
  <si>
    <t>\Archive\Product Backlog\Misc Work November 2023 (sprint 1)</t>
  </si>
  <si>
    <t>\Archive\Product Backlog\Misc Work November 2023 (sprint 2)</t>
  </si>
  <si>
    <t>\Archive\Product Backlog\Misc Work Oct 2022</t>
  </si>
  <si>
    <t>\Archive\Product Backlog\Option Pricing (no pricing) 2</t>
  </si>
  <si>
    <t>\Archive\Product Backlog\Option Pricing (no pricing) 3</t>
  </si>
  <si>
    <t>\Archive\Product Backlog\Option Pricing No Pricing 1</t>
  </si>
  <si>
    <t>\Archive\Product Backlog\Scheduler 1</t>
  </si>
  <si>
    <t>\Archive\Product Backlog\Scheduler 2</t>
  </si>
  <si>
    <t>\Archive\Product Backlog\Scheduler 3</t>
  </si>
  <si>
    <t>\Archive\Product Backlog\Sub Area Selections 1</t>
  </si>
  <si>
    <t>\Archive\Product Backlog\Sub Area Selections 2</t>
  </si>
  <si>
    <t>\Archive\Product Backlog\Sub Area Selections 3</t>
  </si>
  <si>
    <t>\Archive\Product Backlog\Sub Area Selections 4</t>
  </si>
  <si>
    <t>\Archive\Product Backlog\Sub Area Selections 5</t>
  </si>
  <si>
    <t>\Archive\Product Backlog\TM 1</t>
  </si>
  <si>
    <t>\Archive\Product Backlog\VCMS 1</t>
  </si>
  <si>
    <t>\Archive\Product Backlog\VCMS 2</t>
  </si>
  <si>
    <t>\Archive\Product Backlog\VCMS 3</t>
  </si>
  <si>
    <t>\Archive\Product Backlog\VCMS 4</t>
  </si>
  <si>
    <t>\Archive\Product Backlog\VCMS 5</t>
  </si>
  <si>
    <t>\Archive\Product Backlog\VCMS Research</t>
  </si>
  <si>
    <t>\Archive\Product Backlog\Vis Programs 2</t>
  </si>
  <si>
    <t>\Archive\Product Backlog\Vis Programs 3</t>
  </si>
  <si>
    <t>\Archive\Product Backlog\Vis Programs 4</t>
  </si>
  <si>
    <t>\Archive\Product Backlog\Vis Programs 5</t>
  </si>
  <si>
    <t>\Archive\Product Backlog\Vis Programs 6</t>
  </si>
  <si>
    <t>\Archive\Product Backlog\Vis Programs 7</t>
  </si>
  <si>
    <t>\Archive\Product Backlog\Visualization Programs</t>
  </si>
  <si>
    <t>\Archive\Product Backlog\Visualize Catalog 1</t>
  </si>
  <si>
    <t>\Archive\Product Backlog\Visualize Catalog 2</t>
  </si>
  <si>
    <t>\Archive\Product Backlog\Visualize Catalog 3</t>
  </si>
  <si>
    <t>\Archive\Product Backlog\VSP - 2</t>
  </si>
  <si>
    <t>\Archive\Product Backlog\VSP - 3</t>
  </si>
  <si>
    <t>\Archive\Product Backlog\VSP - 4</t>
  </si>
  <si>
    <t>\Archive\Product Backlog\VSP - Designer Docs</t>
  </si>
  <si>
    <t>\Archive\Product Backlog\Wrap up - Vis Catalog and Appt Confirmation</t>
  </si>
  <si>
    <t>\Archive\Product Sprint - April 12</t>
  </si>
  <si>
    <t>\Archive\Product Sprint 10</t>
  </si>
  <si>
    <t>\Archive\Product Team 12</t>
  </si>
  <si>
    <t>\Product Owner</t>
  </si>
  <si>
    <t>\Product Owner\DMH Improvements</t>
  </si>
  <si>
    <t>\Product Owner\Product Sprint - March 29</t>
  </si>
  <si>
    <t>\Product Owner\Product Sprint 9</t>
  </si>
  <si>
    <t>\Product Owner\Ready To Score</t>
  </si>
  <si>
    <t>all_VSTS_3e70086c_f553_49d1_81be_7ca3114b6431_System.IterationPath</t>
  </si>
  <si>
    <r>
      <t xml:space="preserve">Project: </t>
    </r>
    <r>
      <rPr>
        <sz val="11"/>
        <color theme="1"/>
        <rFont val="Aptos Narrow"/>
        <family val="2"/>
        <scheme val="minor"/>
      </rPr>
      <t xml:space="preserve">VeoDesignStudio   </t>
    </r>
    <r>
      <rPr>
        <b/>
        <sz val="11"/>
        <color theme="1"/>
        <rFont val="Aptos Narrow"/>
        <family val="2"/>
        <scheme val="minor"/>
      </rPr>
      <t xml:space="preserve"> Server:</t>
    </r>
    <r>
      <rPr>
        <sz val="11"/>
        <color theme="1"/>
        <rFont val="Aptos Narrow"/>
        <family val="2"/>
        <scheme val="minor"/>
      </rPr>
      <t xml:space="preserve"> dev.azure.com/buildontechnologies   </t>
    </r>
    <r>
      <rPr>
        <b/>
        <sz val="11"/>
        <color theme="1"/>
        <rFont val="Aptos Narrow"/>
        <family val="2"/>
        <scheme val="minor"/>
      </rPr>
      <t xml:space="preserve"> Query:</t>
    </r>
    <r>
      <rPr>
        <sz val="11"/>
        <color theme="1"/>
        <rFont val="Aptos Narrow"/>
        <family val="2"/>
        <scheme val="minor"/>
      </rPr>
      <t xml:space="preserve"> CurrentIterationTaskCapacity   </t>
    </r>
    <r>
      <rPr>
        <b/>
        <sz val="11"/>
        <color theme="1"/>
        <rFont val="Aptos Narrow"/>
        <family val="2"/>
        <scheme val="minor"/>
      </rPr>
      <t xml:space="preserve"> List type:</t>
    </r>
    <r>
      <rPr>
        <sz val="11"/>
        <color theme="1"/>
        <rFont val="Aptos Narrow"/>
        <family val="2"/>
        <scheme val="minor"/>
      </rPr>
      <t xml:space="preserve"> Flat    </t>
    </r>
  </si>
  <si>
    <t>Branding: Variablize font color for categories in option pricing (Default theme)</t>
  </si>
  <si>
    <t>Branding: Variablize font color for categories in option pricing (Custom themes)</t>
  </si>
  <si>
    <t>24239 : Branding: Variablize font color for categories in option pricing</t>
  </si>
  <si>
    <t>28613 : Auth: Migrate Spike code to development branch</t>
  </si>
  <si>
    <t>28614 : Auth: Implement domain match policy</t>
  </si>
  <si>
    <t>28615 : Auth: Okta user can authenticate to VDS</t>
  </si>
  <si>
    <t>28616 : Auth: display "user not provisioned" error message</t>
  </si>
  <si>
    <t>all_VSTS_3e70086c_f553_49d1_81be_7ca3114b6431_Bug_Microsoft.VSTS.Common.Activity</t>
  </si>
  <si>
    <t>all_VSTS_3e70086c_f553_49d1_81be_7ca3114b6431_Task_Microsoft.VSTS.Common.Activity</t>
  </si>
  <si>
    <t>Epic</t>
  </si>
  <si>
    <t>Feature</t>
  </si>
  <si>
    <t>Impediment</t>
  </si>
  <si>
    <t>Initiative</t>
  </si>
  <si>
    <t>all_VSTS_3e70086c_f553_49d1_81be_7ca3114b6431_System.WorkItemType</t>
  </si>
  <si>
    <t>all_VSTS_3e70086c_f553_49d1_81be_7ca3114b6431_Microsoft.VSTS.Common.Activity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</si>
</sst>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NumberFormat="1"/>
    <xf numFmtId="0" fontId="1" fillId="2" borderId="0" xfId="0" applyFont="1" applyFill="1" applyAlignment="1">
      <alignment vertical="center"/>
    </xf>
    <xf numFmtId="0" fontId="0" fillId="2" borderId="0" xfId="0" applyFill="1"/>
  </cellXfs>
  <cellStyles count="1">
    <cellStyle name="Normal" xfId="0" builtinId="0"/>
  </cellStyles>
  <dxfs count="8">
    <dxf>
      <numFmt numFmtId="1" formatCode="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F5500-A55C-43CC-B237-775AC811DD2E}" name="VSTS_3e70086c_f553_49d1_81be_7ca3114b6431" displayName="VSTS_3e70086c_f553_49d1_81be_7ca3114b6431" ref="A2:H87" totalsRowShown="0">
  <autoFilter ref="A2:H87" xr:uid="{E59F5500-A55C-43CC-B237-775AC811DD2E}"/>
  <tableColumns count="8">
    <tableColumn id="1" xr3:uid="{35EF44EC-11C6-425D-A53B-95F231C622F9}" name="ID" dataDxfId="7"/>
    <tableColumn id="2" xr3:uid="{53C70AFB-75E8-4A8F-9483-0ED88F9406FD}" name="Work Item Type" dataDxfId="6"/>
    <tableColumn id="3" xr3:uid="{94135D12-28E7-41A0-8F7A-36D17C5F4C28}" name="Title" dataDxfId="5"/>
    <tableColumn id="4" xr3:uid="{1BA698B6-4237-4739-AF7A-BF5CB2E6ECD5}" name="Tags" dataDxfId="4"/>
    <tableColumn id="5" xr3:uid="{9AAB44A6-2484-4BC2-AC9F-150477C7DC53}" name="Remaining Work" dataDxfId="3"/>
    <tableColumn id="6" xr3:uid="{4FF68ECA-02E4-4BF7-ABBB-A98D60F48A69}" name="Original Estimate" dataDxfId="2"/>
    <tableColumn id="7" xr3:uid="{70540419-85BA-42B8-A564-08A637BF48D1}" name="Activity" dataDxfId="1"/>
    <tableColumn id="8" xr3:uid="{2DAAAAD7-CF7A-4062-8BE2-D789FC582DA3}" name="Par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2418-8545-4A5A-A374-B3AB2556F087}">
  <dimension ref="A3:D13"/>
  <sheetViews>
    <sheetView workbookViewId="0">
      <selection activeCell="B24" sqref="B24"/>
    </sheetView>
  </sheetViews>
  <sheetFormatPr defaultRowHeight="14.4" x14ac:dyDescent="0.3"/>
  <cols>
    <col min="1" max="1" width="9.109375" bestFit="1" customWidth="1"/>
    <col min="2" max="2" width="51.109375" bestFit="1" customWidth="1"/>
    <col min="3" max="3" width="13.6640625" bestFit="1" customWidth="1"/>
    <col min="4" max="4" width="14.109375" bestFit="1" customWidth="1"/>
  </cols>
  <sheetData>
    <row r="3" spans="1:4" x14ac:dyDescent="0.3">
      <c r="A3" t="s">
        <v>77</v>
      </c>
    </row>
    <row r="4" spans="1:4" x14ac:dyDescent="0.3">
      <c r="A4" t="s">
        <v>74</v>
      </c>
      <c r="B4" t="s">
        <v>75</v>
      </c>
      <c r="C4" t="s">
        <v>76</v>
      </c>
      <c r="D4" t="s">
        <v>4</v>
      </c>
    </row>
    <row r="5" spans="1:4" x14ac:dyDescent="0.3">
      <c r="A5" cm="1">
        <f t="array" ref="A5:A13">_xlfn._xlws.FILTER(VSTS_3e70086c_f553_49d1_81be_7ca3114b6431[ID], (VSTS_3e70086c_f553_49d1_81be_7ca3114b6431[Work Item Type]="Product Backlog Item")+(VSTS_3e70086c_f553_49d1_81be_7ca3114b6431[Work Item Type]="Bug"))</f>
        <v>24239</v>
      </c>
      <c r="B5" t="str">
        <f>_xlfn.XLOOKUP($A5, VSTS_3e70086c_f553_49d1_81be_7ca3114b6431[ID], VSTS_3e70086c_f553_49d1_81be_7ca3114b6431[Title])</f>
        <v>Branding: Variablize font color for categories in option pricing</v>
      </c>
      <c r="C5">
        <f>SUMIF(VSTS_3e70086c_f553_49d1_81be_7ca3114b6431[Parent],Gannt_11052025_11182025!$A5,VSTS_3e70086c_f553_49d1_81be_7ca3114b6431[Original Estimate])</f>
        <v>31</v>
      </c>
      <c r="D5">
        <f>SUMIF(VSTS_3e70086c_f553_49d1_81be_7ca3114b6431[Parent],Gannt_11052025_11182025!$A5,VSTS_3e70086c_f553_49d1_81be_7ca3114b6431[Remaining Work])</f>
        <v>1</v>
      </c>
    </row>
    <row r="6" spans="1:4" x14ac:dyDescent="0.3">
      <c r="A6">
        <v>28596</v>
      </c>
      <c r="B6" t="str">
        <f>_xlfn.XLOOKUP($A6, VSTS_3e70086c_f553_49d1_81be_7ca3114b6431[ID], VSTS_3e70086c_f553_49d1_81be_7ca3114b6431[Title])</f>
        <v>Design Selections: Image disparity</v>
      </c>
      <c r="C6">
        <f>SUMIF(VSTS_3e70086c_f553_49d1_81be_7ca3114b6431[Parent],Gannt_11052025_11182025!$A6,VSTS_3e70086c_f553_49d1_81be_7ca3114b6431[Original Estimate])</f>
        <v>28</v>
      </c>
      <c r="D6">
        <f>SUMIF(VSTS_3e70086c_f553_49d1_81be_7ca3114b6431[Parent],Gannt_11052025_11182025!$A6,VSTS_3e70086c_f553_49d1_81be_7ca3114b6431[Remaining Work])</f>
        <v>18</v>
      </c>
    </row>
    <row r="7" spans="1:4" x14ac:dyDescent="0.3">
      <c r="A7">
        <v>28613</v>
      </c>
      <c r="B7" t="str">
        <f>_xlfn.XLOOKUP($A7, VSTS_3e70086c_f553_49d1_81be_7ca3114b6431[ID], VSTS_3e70086c_f553_49d1_81be_7ca3114b6431[Title])</f>
        <v>Auth: Migrate Spike code to development branch</v>
      </c>
      <c r="C7">
        <f>SUMIF(VSTS_3e70086c_f553_49d1_81be_7ca3114b6431[Parent],Gannt_11052025_11182025!$A7,VSTS_3e70086c_f553_49d1_81be_7ca3114b6431[Original Estimate])</f>
        <v>48.5</v>
      </c>
      <c r="D7">
        <f>SUMIF(VSTS_3e70086c_f553_49d1_81be_7ca3114b6431[Parent],Gannt_11052025_11182025!$A7,VSTS_3e70086c_f553_49d1_81be_7ca3114b6431[Remaining Work])</f>
        <v>0</v>
      </c>
    </row>
    <row r="8" spans="1:4" x14ac:dyDescent="0.3">
      <c r="A8">
        <v>28614</v>
      </c>
      <c r="B8" t="str">
        <f>_xlfn.XLOOKUP($A8, VSTS_3e70086c_f553_49d1_81be_7ca3114b6431[ID], VSTS_3e70086c_f553_49d1_81be_7ca3114b6431[Title])</f>
        <v>Auth: Implement domain match policy</v>
      </c>
      <c r="C8">
        <f>SUMIF(VSTS_3e70086c_f553_49d1_81be_7ca3114b6431[Parent],Gannt_11052025_11182025!$A8,VSTS_3e70086c_f553_49d1_81be_7ca3114b6431[Original Estimate])</f>
        <v>43</v>
      </c>
      <c r="D8">
        <f>SUMIF(VSTS_3e70086c_f553_49d1_81be_7ca3114b6431[Parent],Gannt_11052025_11182025!$A8,VSTS_3e70086c_f553_49d1_81be_7ca3114b6431[Remaining Work])</f>
        <v>5</v>
      </c>
    </row>
    <row r="9" spans="1:4" x14ac:dyDescent="0.3">
      <c r="A9">
        <v>28615</v>
      </c>
      <c r="B9" t="str">
        <f>_xlfn.XLOOKUP($A9, VSTS_3e70086c_f553_49d1_81be_7ca3114b6431[ID], VSTS_3e70086c_f553_49d1_81be_7ca3114b6431[Title])</f>
        <v>Auth: Okta user can authenticate to VDS</v>
      </c>
      <c r="C9">
        <f>SUMIF(VSTS_3e70086c_f553_49d1_81be_7ca3114b6431[Parent],Gannt_11052025_11182025!$A9,VSTS_3e70086c_f553_49d1_81be_7ca3114b6431[Original Estimate])</f>
        <v>24</v>
      </c>
      <c r="D9">
        <f>SUMIF(VSTS_3e70086c_f553_49d1_81be_7ca3114b6431[Parent],Gannt_11052025_11182025!$A9,VSTS_3e70086c_f553_49d1_81be_7ca3114b6431[Remaining Work])</f>
        <v>24</v>
      </c>
    </row>
    <row r="10" spans="1:4" x14ac:dyDescent="0.3">
      <c r="A10">
        <v>28616</v>
      </c>
      <c r="B10" t="str">
        <f>_xlfn.XLOOKUP($A10, VSTS_3e70086c_f553_49d1_81be_7ca3114b6431[ID], VSTS_3e70086c_f553_49d1_81be_7ca3114b6431[Title])</f>
        <v>Auth: display "user not provisioned" error message</v>
      </c>
      <c r="C10">
        <f>SUMIF(VSTS_3e70086c_f553_49d1_81be_7ca3114b6431[Parent],Gannt_11052025_11182025!$A10,VSTS_3e70086c_f553_49d1_81be_7ca3114b6431[Original Estimate])</f>
        <v>18</v>
      </c>
      <c r="D10">
        <f>SUMIF(VSTS_3e70086c_f553_49d1_81be_7ca3114b6431[Parent],Gannt_11052025_11182025!$A10,VSTS_3e70086c_f553_49d1_81be_7ca3114b6431[Remaining Work])</f>
        <v>2</v>
      </c>
    </row>
    <row r="11" spans="1:4" x14ac:dyDescent="0.3">
      <c r="A11">
        <v>28645</v>
      </c>
      <c r="B11" t="str">
        <f>_xlfn.XLOOKUP($A11, VSTS_3e70086c_f553_49d1_81be_7ca3114b6431[ID], VSTS_3e70086c_f553_49d1_81be_7ca3114b6431[Title])</f>
        <v>Interfacelift Training "3rd Party Authorization 2"</v>
      </c>
      <c r="C11">
        <f>SUMIF(VSTS_3e70086c_f553_49d1_81be_7ca3114b6431[Parent],Gannt_11052025_11182025!$A11,VSTS_3e70086c_f553_49d1_81be_7ca3114b6431[Original Estimate])</f>
        <v>45</v>
      </c>
      <c r="D11">
        <f>SUMIF(VSTS_3e70086c_f553_49d1_81be_7ca3114b6431[Parent],Gannt_11052025_11182025!$A11,VSTS_3e70086c_f553_49d1_81be_7ca3114b6431[Remaining Work])</f>
        <v>43.5</v>
      </c>
    </row>
    <row r="12" spans="1:4" x14ac:dyDescent="0.3">
      <c r="A12">
        <v>28652</v>
      </c>
      <c r="B12" t="str">
        <f>_xlfn.XLOOKUP($A12, VSTS_3e70086c_f553_49d1_81be_7ca3114b6431[ID], VSTS_3e70086c_f553_49d1_81be_7ca3114b6431[Title])</f>
        <v>RC for 11/10</v>
      </c>
      <c r="C12">
        <f>SUMIF(VSTS_3e70086c_f553_49d1_81be_7ca3114b6431[Parent],Gannt_11052025_11182025!$A12,VSTS_3e70086c_f553_49d1_81be_7ca3114b6431[Original Estimate])</f>
        <v>0</v>
      </c>
      <c r="D12">
        <f>SUMIF(VSTS_3e70086c_f553_49d1_81be_7ca3114b6431[Parent],Gannt_11052025_11182025!$A12,VSTS_3e70086c_f553_49d1_81be_7ca3114b6431[Remaining Work])</f>
        <v>0</v>
      </c>
    </row>
    <row r="13" spans="1:4" x14ac:dyDescent="0.3">
      <c r="A13">
        <v>28653</v>
      </c>
      <c r="B13" t="str">
        <f>_xlfn.XLOOKUP($A13, VSTS_3e70086c_f553_49d1_81be_7ca3114b6431[ID], VSTS_3e70086c_f553_49d1_81be_7ca3114b6431[Title])</f>
        <v>Regression Test: Today's Appts</v>
      </c>
      <c r="C13">
        <f>SUMIF(VSTS_3e70086c_f553_49d1_81be_7ca3114b6431[Parent],Gannt_11052025_11182025!$A13,VSTS_3e70086c_f553_49d1_81be_7ca3114b6431[Original Estimate])</f>
        <v>0</v>
      </c>
      <c r="D13">
        <f>SUMIF(VSTS_3e70086c_f553_49d1_81be_7ca3114b6431[Parent],Gannt_11052025_11182025!$A13,VSTS_3e70086c_f553_49d1_81be_7ca3114b6431[Remaining Work])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1381-9EB6-48DD-960E-468B97D2CF2B}">
  <dimension ref="A1:H87"/>
  <sheetViews>
    <sheetView workbookViewId="0">
      <selection activeCell="J2" sqref="J2"/>
    </sheetView>
  </sheetViews>
  <sheetFormatPr defaultRowHeight="14.4" x14ac:dyDescent="0.3"/>
  <cols>
    <col min="1" max="1" width="11" customWidth="1"/>
    <col min="2" max="2" width="23.44140625" customWidth="1"/>
    <col min="3" max="3" width="71.109375" customWidth="1"/>
    <col min="4" max="4" width="16.21875" customWidth="1"/>
    <col min="5" max="5" width="22.109375" customWidth="1"/>
    <col min="6" max="6" width="22.6640625" customWidth="1"/>
    <col min="7" max="7" width="16.77734375" customWidth="1"/>
    <col min="8" max="8" width="13.6640625" customWidth="1"/>
  </cols>
  <sheetData>
    <row r="1" spans="1:8" ht="28.05" customHeight="1" x14ac:dyDescent="0.3">
      <c r="A1" s="5" t="s">
        <v>238</v>
      </c>
      <c r="B1" s="6"/>
      <c r="C1" s="6"/>
      <c r="D1" s="6"/>
      <c r="E1" s="6"/>
      <c r="F1" s="6"/>
      <c r="G1" s="6"/>
      <c r="H1" s="6"/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78</v>
      </c>
      <c r="G2" s="1" t="s">
        <v>5</v>
      </c>
      <c r="H2" s="1" t="s">
        <v>6</v>
      </c>
    </row>
    <row r="3" spans="1:8" x14ac:dyDescent="0.3">
      <c r="A3" s="2">
        <v>24239</v>
      </c>
      <c r="B3" s="1" t="s">
        <v>7</v>
      </c>
      <c r="C3" s="1" t="s">
        <v>8</v>
      </c>
      <c r="D3" s="4" t="s">
        <v>9</v>
      </c>
      <c r="E3" s="4"/>
      <c r="F3" s="4"/>
      <c r="G3" s="1"/>
      <c r="H3" s="2"/>
    </row>
    <row r="4" spans="1:8" x14ac:dyDescent="0.3">
      <c r="A4" s="2">
        <v>28596</v>
      </c>
      <c r="B4" s="1" t="s">
        <v>10</v>
      </c>
      <c r="C4" s="1" t="s">
        <v>11</v>
      </c>
      <c r="D4" s="4"/>
      <c r="E4" s="4"/>
      <c r="F4" s="4"/>
      <c r="G4" s="1"/>
      <c r="H4" s="2"/>
    </row>
    <row r="5" spans="1:8" x14ac:dyDescent="0.3">
      <c r="A5" s="2">
        <v>28613</v>
      </c>
      <c r="B5" s="1" t="s">
        <v>7</v>
      </c>
      <c r="C5" s="1" t="s">
        <v>12</v>
      </c>
      <c r="D5" s="4" t="s">
        <v>14</v>
      </c>
      <c r="E5" s="4"/>
      <c r="F5" s="4"/>
      <c r="G5" s="1"/>
      <c r="H5" s="2">
        <v>28426</v>
      </c>
    </row>
    <row r="6" spans="1:8" x14ac:dyDescent="0.3">
      <c r="A6" s="2">
        <v>28614</v>
      </c>
      <c r="B6" s="1" t="s">
        <v>7</v>
      </c>
      <c r="C6" s="1" t="s">
        <v>15</v>
      </c>
      <c r="D6" s="4" t="s">
        <v>16</v>
      </c>
      <c r="E6" s="4"/>
      <c r="F6" s="4"/>
      <c r="G6" s="1"/>
      <c r="H6" s="2">
        <v>28426</v>
      </c>
    </row>
    <row r="7" spans="1:8" x14ac:dyDescent="0.3">
      <c r="A7" s="2">
        <v>28615</v>
      </c>
      <c r="B7" s="1" t="s">
        <v>7</v>
      </c>
      <c r="C7" s="1" t="s">
        <v>17</v>
      </c>
      <c r="D7" s="4" t="s">
        <v>16</v>
      </c>
      <c r="E7" s="4"/>
      <c r="F7" s="4"/>
      <c r="G7" s="1"/>
      <c r="H7" s="2">
        <v>28426</v>
      </c>
    </row>
    <row r="8" spans="1:8" x14ac:dyDescent="0.3">
      <c r="A8" s="2">
        <v>28616</v>
      </c>
      <c r="B8" s="1" t="s">
        <v>7</v>
      </c>
      <c r="C8" s="1" t="s">
        <v>18</v>
      </c>
      <c r="D8" s="4" t="s">
        <v>16</v>
      </c>
      <c r="E8" s="4"/>
      <c r="F8" s="4"/>
      <c r="G8" s="1"/>
      <c r="H8" s="2">
        <v>28426</v>
      </c>
    </row>
    <row r="9" spans="1:8" x14ac:dyDescent="0.3">
      <c r="A9" s="2">
        <v>28645</v>
      </c>
      <c r="B9" s="1" t="s">
        <v>7</v>
      </c>
      <c r="C9" s="1" t="s">
        <v>19</v>
      </c>
      <c r="D9" s="4" t="s">
        <v>20</v>
      </c>
      <c r="E9" s="4"/>
      <c r="F9" s="4"/>
      <c r="G9" s="1"/>
      <c r="H9" s="2"/>
    </row>
    <row r="10" spans="1:8" x14ac:dyDescent="0.3">
      <c r="A10" s="2">
        <v>28646</v>
      </c>
      <c r="B10" s="1" t="s">
        <v>21</v>
      </c>
      <c r="C10" s="1" t="s">
        <v>22</v>
      </c>
      <c r="D10" s="4"/>
      <c r="E10" s="4">
        <v>15</v>
      </c>
      <c r="F10" s="4">
        <v>15</v>
      </c>
      <c r="G10" s="1" t="s">
        <v>23</v>
      </c>
      <c r="H10" s="2">
        <v>28645</v>
      </c>
    </row>
    <row r="11" spans="1:8" x14ac:dyDescent="0.3">
      <c r="A11" s="2">
        <v>28647</v>
      </c>
      <c r="B11" s="1" t="s">
        <v>21</v>
      </c>
      <c r="C11" s="1" t="s">
        <v>24</v>
      </c>
      <c r="D11" s="4"/>
      <c r="E11" s="4">
        <v>15</v>
      </c>
      <c r="F11" s="4">
        <v>15</v>
      </c>
      <c r="G11" s="1" t="s">
        <v>23</v>
      </c>
      <c r="H11" s="2">
        <v>28645</v>
      </c>
    </row>
    <row r="12" spans="1:8" x14ac:dyDescent="0.3">
      <c r="A12" s="2">
        <v>28648</v>
      </c>
      <c r="B12" s="1" t="s">
        <v>21</v>
      </c>
      <c r="C12" s="1" t="s">
        <v>25</v>
      </c>
      <c r="D12" s="4"/>
      <c r="E12" s="4">
        <v>13.5</v>
      </c>
      <c r="F12" s="4">
        <v>15</v>
      </c>
      <c r="G12" s="1" t="s">
        <v>23</v>
      </c>
      <c r="H12" s="2">
        <v>28645</v>
      </c>
    </row>
    <row r="13" spans="1:8" x14ac:dyDescent="0.3">
      <c r="A13" s="2">
        <v>28651</v>
      </c>
      <c r="B13" s="1" t="s">
        <v>21</v>
      </c>
      <c r="C13" s="1" t="s">
        <v>26</v>
      </c>
      <c r="D13" s="4"/>
      <c r="E13" s="4">
        <v>3</v>
      </c>
      <c r="F13" s="4"/>
      <c r="G13" s="1" t="s">
        <v>27</v>
      </c>
      <c r="H13" s="2">
        <v>28653</v>
      </c>
    </row>
    <row r="14" spans="1:8" x14ac:dyDescent="0.3">
      <c r="A14" s="2">
        <v>28652</v>
      </c>
      <c r="B14" s="1" t="s">
        <v>7</v>
      </c>
      <c r="C14" s="1" t="s">
        <v>28</v>
      </c>
      <c r="D14" s="4"/>
      <c r="E14" s="4"/>
      <c r="F14" s="4"/>
      <c r="G14" s="1"/>
      <c r="H14" s="2"/>
    </row>
    <row r="15" spans="1:8" x14ac:dyDescent="0.3">
      <c r="A15" s="2">
        <v>28653</v>
      </c>
      <c r="B15" s="1" t="s">
        <v>7</v>
      </c>
      <c r="C15" s="1" t="s">
        <v>29</v>
      </c>
      <c r="D15" s="4" t="s">
        <v>30</v>
      </c>
      <c r="E15" s="4"/>
      <c r="F15" s="4"/>
      <c r="G15" s="1"/>
      <c r="H15" s="2">
        <v>21389</v>
      </c>
    </row>
    <row r="16" spans="1:8" x14ac:dyDescent="0.3">
      <c r="A16" s="2">
        <v>28654</v>
      </c>
      <c r="B16" s="1" t="s">
        <v>21</v>
      </c>
      <c r="C16" s="1" t="s">
        <v>31</v>
      </c>
      <c r="D16" s="4"/>
      <c r="E16" s="4"/>
      <c r="F16" s="4"/>
      <c r="G16" s="1" t="s">
        <v>23</v>
      </c>
      <c r="H16" s="2">
        <v>28652</v>
      </c>
    </row>
    <row r="17" spans="1:8" x14ac:dyDescent="0.3">
      <c r="A17" s="2">
        <v>28655</v>
      </c>
      <c r="B17" s="1" t="s">
        <v>21</v>
      </c>
      <c r="C17" s="1" t="s">
        <v>32</v>
      </c>
      <c r="D17" s="4"/>
      <c r="E17" s="4"/>
      <c r="F17" s="4"/>
      <c r="G17" s="1" t="s">
        <v>13</v>
      </c>
      <c r="H17" s="2">
        <v>28652</v>
      </c>
    </row>
    <row r="18" spans="1:8" x14ac:dyDescent="0.3">
      <c r="A18" s="2">
        <v>28656</v>
      </c>
      <c r="B18" s="1" t="s">
        <v>21</v>
      </c>
      <c r="C18" s="1" t="s">
        <v>33</v>
      </c>
      <c r="D18" s="4"/>
      <c r="E18" s="4"/>
      <c r="F18" s="4"/>
      <c r="G18" s="1" t="s">
        <v>13</v>
      </c>
      <c r="H18" s="2">
        <v>28652</v>
      </c>
    </row>
    <row r="19" spans="1:8" x14ac:dyDescent="0.3">
      <c r="A19" s="2">
        <v>28657</v>
      </c>
      <c r="B19" s="1" t="s">
        <v>21</v>
      </c>
      <c r="C19" s="1" t="s">
        <v>34</v>
      </c>
      <c r="D19" s="4"/>
      <c r="E19" s="4"/>
      <c r="F19" s="4"/>
      <c r="G19" s="1"/>
      <c r="H19" s="2">
        <v>28652</v>
      </c>
    </row>
    <row r="20" spans="1:8" x14ac:dyDescent="0.3">
      <c r="A20" s="2">
        <v>28658</v>
      </c>
      <c r="B20" s="1" t="s">
        <v>21</v>
      </c>
      <c r="C20" s="1" t="s">
        <v>35</v>
      </c>
      <c r="D20" s="4"/>
      <c r="E20" s="4"/>
      <c r="F20" s="4">
        <v>3</v>
      </c>
      <c r="G20" s="1" t="s">
        <v>27</v>
      </c>
      <c r="H20" s="2">
        <v>28613</v>
      </c>
    </row>
    <row r="21" spans="1:8" x14ac:dyDescent="0.3">
      <c r="A21" s="2">
        <v>28659</v>
      </c>
      <c r="B21" s="1" t="s">
        <v>21</v>
      </c>
      <c r="C21" s="1" t="s">
        <v>36</v>
      </c>
      <c r="D21" s="4"/>
      <c r="E21" s="4"/>
      <c r="F21" s="4">
        <v>4</v>
      </c>
      <c r="G21" s="1" t="s">
        <v>13</v>
      </c>
      <c r="H21" s="2">
        <v>28613</v>
      </c>
    </row>
    <row r="22" spans="1:8" x14ac:dyDescent="0.3">
      <c r="A22" s="2">
        <v>28660</v>
      </c>
      <c r="B22" s="1" t="s">
        <v>21</v>
      </c>
      <c r="C22" s="1" t="s">
        <v>37</v>
      </c>
      <c r="D22" s="4"/>
      <c r="E22" s="4"/>
      <c r="F22" s="4">
        <v>1</v>
      </c>
      <c r="G22" s="1"/>
      <c r="H22" s="2">
        <v>28613</v>
      </c>
    </row>
    <row r="23" spans="1:8" x14ac:dyDescent="0.3">
      <c r="A23" s="2">
        <v>28661</v>
      </c>
      <c r="B23" s="1" t="s">
        <v>21</v>
      </c>
      <c r="C23" s="1" t="s">
        <v>35</v>
      </c>
      <c r="D23" s="4"/>
      <c r="E23" s="4"/>
      <c r="F23" s="4">
        <v>3</v>
      </c>
      <c r="G23" s="1" t="s">
        <v>27</v>
      </c>
      <c r="H23" s="2">
        <v>28614</v>
      </c>
    </row>
    <row r="24" spans="1:8" x14ac:dyDescent="0.3">
      <c r="A24" s="2">
        <v>28662</v>
      </c>
      <c r="B24" s="1" t="s">
        <v>21</v>
      </c>
      <c r="C24" s="1" t="s">
        <v>36</v>
      </c>
      <c r="D24" s="4"/>
      <c r="E24" s="4">
        <v>4</v>
      </c>
      <c r="F24" s="4">
        <v>4</v>
      </c>
      <c r="G24" s="1" t="s">
        <v>13</v>
      </c>
      <c r="H24" s="2">
        <v>28614</v>
      </c>
    </row>
    <row r="25" spans="1:8" x14ac:dyDescent="0.3">
      <c r="A25" s="2">
        <v>28663</v>
      </c>
      <c r="B25" s="1" t="s">
        <v>21</v>
      </c>
      <c r="C25" s="1" t="s">
        <v>37</v>
      </c>
      <c r="D25" s="4"/>
      <c r="E25" s="4">
        <v>1</v>
      </c>
      <c r="F25" s="4">
        <v>1</v>
      </c>
      <c r="G25" s="1"/>
      <c r="H25" s="2">
        <v>28614</v>
      </c>
    </row>
    <row r="26" spans="1:8" x14ac:dyDescent="0.3">
      <c r="A26" s="2">
        <v>28664</v>
      </c>
      <c r="B26" s="1" t="s">
        <v>21</v>
      </c>
      <c r="C26" s="1" t="s">
        <v>35</v>
      </c>
      <c r="D26" s="4"/>
      <c r="E26" s="4">
        <v>3</v>
      </c>
      <c r="F26" s="4">
        <v>3</v>
      </c>
      <c r="G26" s="1" t="s">
        <v>27</v>
      </c>
      <c r="H26" s="2">
        <v>28615</v>
      </c>
    </row>
    <row r="27" spans="1:8" x14ac:dyDescent="0.3">
      <c r="A27" s="2">
        <v>28665</v>
      </c>
      <c r="B27" s="1" t="s">
        <v>21</v>
      </c>
      <c r="C27" s="1" t="s">
        <v>36</v>
      </c>
      <c r="D27" s="4"/>
      <c r="E27" s="4">
        <v>4</v>
      </c>
      <c r="F27" s="4">
        <v>4</v>
      </c>
      <c r="G27" s="1" t="s">
        <v>13</v>
      </c>
      <c r="H27" s="2">
        <v>28615</v>
      </c>
    </row>
    <row r="28" spans="1:8" x14ac:dyDescent="0.3">
      <c r="A28" s="2">
        <v>28666</v>
      </c>
      <c r="B28" s="1" t="s">
        <v>21</v>
      </c>
      <c r="C28" s="1" t="s">
        <v>37</v>
      </c>
      <c r="D28" s="4"/>
      <c r="E28" s="4">
        <v>1</v>
      </c>
      <c r="F28" s="4">
        <v>1</v>
      </c>
      <c r="G28" s="1"/>
      <c r="H28" s="2">
        <v>28615</v>
      </c>
    </row>
    <row r="29" spans="1:8" x14ac:dyDescent="0.3">
      <c r="A29" s="2">
        <v>28667</v>
      </c>
      <c r="B29" s="1" t="s">
        <v>21</v>
      </c>
      <c r="C29" s="1" t="s">
        <v>38</v>
      </c>
      <c r="D29" s="4"/>
      <c r="E29" s="4"/>
      <c r="F29" s="4">
        <v>2</v>
      </c>
      <c r="G29" s="1" t="s">
        <v>23</v>
      </c>
      <c r="H29" s="2">
        <v>28613</v>
      </c>
    </row>
    <row r="30" spans="1:8" x14ac:dyDescent="0.3">
      <c r="A30" s="2">
        <v>28668</v>
      </c>
      <c r="B30" s="1" t="s">
        <v>21</v>
      </c>
      <c r="C30" s="1" t="s">
        <v>35</v>
      </c>
      <c r="D30" s="4"/>
      <c r="E30" s="4"/>
      <c r="F30" s="4">
        <v>2</v>
      </c>
      <c r="G30" s="1" t="s">
        <v>27</v>
      </c>
      <c r="H30" s="2">
        <v>28616</v>
      </c>
    </row>
    <row r="31" spans="1:8" x14ac:dyDescent="0.3">
      <c r="A31" s="2">
        <v>28669</v>
      </c>
      <c r="B31" s="1" t="s">
        <v>21</v>
      </c>
      <c r="C31" s="1" t="s">
        <v>36</v>
      </c>
      <c r="D31" s="4"/>
      <c r="E31" s="4">
        <v>1</v>
      </c>
      <c r="F31" s="4">
        <v>1</v>
      </c>
      <c r="G31" s="1" t="s">
        <v>13</v>
      </c>
      <c r="H31" s="2">
        <v>28616</v>
      </c>
    </row>
    <row r="32" spans="1:8" x14ac:dyDescent="0.3">
      <c r="A32" s="2">
        <v>28670</v>
      </c>
      <c r="B32" s="1" t="s">
        <v>21</v>
      </c>
      <c r="C32" s="1" t="s">
        <v>39</v>
      </c>
      <c r="D32" s="4"/>
      <c r="E32" s="4"/>
      <c r="F32" s="4">
        <v>2</v>
      </c>
      <c r="G32" s="1" t="s">
        <v>23</v>
      </c>
      <c r="H32" s="2">
        <v>28613</v>
      </c>
    </row>
    <row r="33" spans="1:8" x14ac:dyDescent="0.3">
      <c r="A33" s="2">
        <v>28671</v>
      </c>
      <c r="B33" s="1" t="s">
        <v>21</v>
      </c>
      <c r="C33" s="1" t="s">
        <v>37</v>
      </c>
      <c r="D33" s="4"/>
      <c r="E33" s="4">
        <v>1</v>
      </c>
      <c r="F33" s="4">
        <v>1</v>
      </c>
      <c r="G33" s="1"/>
      <c r="H33" s="2">
        <v>28616</v>
      </c>
    </row>
    <row r="34" spans="1:8" x14ac:dyDescent="0.3">
      <c r="A34" s="2">
        <v>28672</v>
      </c>
      <c r="B34" s="1" t="s">
        <v>21</v>
      </c>
      <c r="C34" s="1" t="s">
        <v>40</v>
      </c>
      <c r="D34" s="4"/>
      <c r="E34" s="4">
        <v>3</v>
      </c>
      <c r="F34" s="4">
        <v>3</v>
      </c>
      <c r="G34" s="1" t="s">
        <v>13</v>
      </c>
      <c r="H34" s="2">
        <v>28596</v>
      </c>
    </row>
    <row r="35" spans="1:8" x14ac:dyDescent="0.3">
      <c r="A35" s="2">
        <v>28673</v>
      </c>
      <c r="B35" s="1" t="s">
        <v>21</v>
      </c>
      <c r="C35" s="1" t="s">
        <v>41</v>
      </c>
      <c r="D35" s="4"/>
      <c r="E35" s="4"/>
      <c r="F35" s="4">
        <v>4</v>
      </c>
      <c r="G35" s="1" t="s">
        <v>23</v>
      </c>
      <c r="H35" s="2">
        <v>28613</v>
      </c>
    </row>
    <row r="36" spans="1:8" x14ac:dyDescent="0.3">
      <c r="A36" s="2">
        <v>28674</v>
      </c>
      <c r="B36" s="1" t="s">
        <v>21</v>
      </c>
      <c r="C36" s="1" t="s">
        <v>37</v>
      </c>
      <c r="D36" s="4"/>
      <c r="E36" s="4">
        <v>1</v>
      </c>
      <c r="F36" s="4">
        <v>1</v>
      </c>
      <c r="G36" s="1"/>
      <c r="H36" s="2">
        <v>28596</v>
      </c>
    </row>
    <row r="37" spans="1:8" x14ac:dyDescent="0.3">
      <c r="A37" s="2">
        <v>28675</v>
      </c>
      <c r="B37" s="1" t="s">
        <v>21</v>
      </c>
      <c r="C37" s="1" t="s">
        <v>35</v>
      </c>
      <c r="D37" s="4"/>
      <c r="E37" s="4"/>
      <c r="F37" s="4">
        <v>2</v>
      </c>
      <c r="G37" s="1" t="s">
        <v>27</v>
      </c>
      <c r="H37" s="2">
        <v>24239</v>
      </c>
    </row>
    <row r="38" spans="1:8" x14ac:dyDescent="0.3">
      <c r="A38" s="2">
        <v>28676</v>
      </c>
      <c r="B38" s="1" t="s">
        <v>21</v>
      </c>
      <c r="C38" s="1" t="s">
        <v>37</v>
      </c>
      <c r="D38" s="4"/>
      <c r="E38" s="4">
        <v>1</v>
      </c>
      <c r="F38" s="4">
        <v>1</v>
      </c>
      <c r="G38" s="1"/>
      <c r="H38" s="2">
        <v>24239</v>
      </c>
    </row>
    <row r="39" spans="1:8" x14ac:dyDescent="0.3">
      <c r="A39" s="2">
        <v>28677</v>
      </c>
      <c r="B39" s="1" t="s">
        <v>21</v>
      </c>
      <c r="C39" s="1" t="s">
        <v>36</v>
      </c>
      <c r="D39" s="4"/>
      <c r="E39" s="4"/>
      <c r="F39" s="4">
        <v>3</v>
      </c>
      <c r="G39" s="1" t="s">
        <v>13</v>
      </c>
      <c r="H39" s="2">
        <v>24239</v>
      </c>
    </row>
    <row r="40" spans="1:8" x14ac:dyDescent="0.3">
      <c r="A40" s="2">
        <v>28679</v>
      </c>
      <c r="B40" s="1" t="s">
        <v>21</v>
      </c>
      <c r="C40" s="1" t="s">
        <v>42</v>
      </c>
      <c r="D40" s="4"/>
      <c r="E40" s="4"/>
      <c r="F40" s="4">
        <v>4</v>
      </c>
      <c r="G40" s="1" t="s">
        <v>23</v>
      </c>
      <c r="H40" s="2">
        <v>28613</v>
      </c>
    </row>
    <row r="41" spans="1:8" x14ac:dyDescent="0.3">
      <c r="A41" s="2">
        <v>28680</v>
      </c>
      <c r="B41" s="1" t="s">
        <v>21</v>
      </c>
      <c r="C41" s="1" t="s">
        <v>43</v>
      </c>
      <c r="D41" s="4"/>
      <c r="E41" s="4"/>
      <c r="F41" s="4">
        <v>4</v>
      </c>
      <c r="G41" s="1" t="s">
        <v>23</v>
      </c>
      <c r="H41" s="2">
        <v>28613</v>
      </c>
    </row>
    <row r="42" spans="1:8" x14ac:dyDescent="0.3">
      <c r="A42" s="2">
        <v>28681</v>
      </c>
      <c r="B42" s="1" t="s">
        <v>21</v>
      </c>
      <c r="C42" s="1" t="s">
        <v>44</v>
      </c>
      <c r="D42" s="4"/>
      <c r="E42" s="4"/>
      <c r="F42" s="4">
        <v>1</v>
      </c>
      <c r="G42" s="1" t="s">
        <v>23</v>
      </c>
      <c r="H42" s="2">
        <v>28613</v>
      </c>
    </row>
    <row r="43" spans="1:8" x14ac:dyDescent="0.3">
      <c r="A43" s="2">
        <v>28682</v>
      </c>
      <c r="B43" s="1" t="s">
        <v>21</v>
      </c>
      <c r="C43" s="1" t="s">
        <v>45</v>
      </c>
      <c r="D43" s="4"/>
      <c r="E43" s="4"/>
      <c r="F43" s="4">
        <v>1</v>
      </c>
      <c r="G43" s="1" t="s">
        <v>23</v>
      </c>
      <c r="H43" s="2">
        <v>28613</v>
      </c>
    </row>
    <row r="44" spans="1:8" x14ac:dyDescent="0.3">
      <c r="A44" s="2">
        <v>28683</v>
      </c>
      <c r="B44" s="1" t="s">
        <v>21</v>
      </c>
      <c r="C44" s="1" t="s">
        <v>46</v>
      </c>
      <c r="D44" s="4"/>
      <c r="E44" s="4"/>
      <c r="F44" s="4">
        <v>3</v>
      </c>
      <c r="G44" s="1" t="s">
        <v>23</v>
      </c>
      <c r="H44" s="2">
        <v>28613</v>
      </c>
    </row>
    <row r="45" spans="1:8" x14ac:dyDescent="0.3">
      <c r="A45" s="2">
        <v>28684</v>
      </c>
      <c r="B45" s="1" t="s">
        <v>21</v>
      </c>
      <c r="C45" s="1" t="s">
        <v>47</v>
      </c>
      <c r="D45" s="4"/>
      <c r="E45" s="4"/>
      <c r="F45" s="4">
        <v>2</v>
      </c>
      <c r="G45" s="1" t="s">
        <v>23</v>
      </c>
      <c r="H45" s="2">
        <v>28613</v>
      </c>
    </row>
    <row r="46" spans="1:8" x14ac:dyDescent="0.3">
      <c r="A46" s="2">
        <v>28685</v>
      </c>
      <c r="B46" s="1" t="s">
        <v>21</v>
      </c>
      <c r="C46" s="1" t="s">
        <v>48</v>
      </c>
      <c r="D46" s="4"/>
      <c r="E46" s="4"/>
      <c r="F46" s="4">
        <v>8</v>
      </c>
      <c r="G46" s="1" t="s">
        <v>23</v>
      </c>
      <c r="H46" s="2">
        <v>28613</v>
      </c>
    </row>
    <row r="47" spans="1:8" x14ac:dyDescent="0.3">
      <c r="A47" s="2">
        <v>28686</v>
      </c>
      <c r="B47" s="1" t="s">
        <v>21</v>
      </c>
      <c r="C47" s="1" t="s">
        <v>49</v>
      </c>
      <c r="D47" s="4"/>
      <c r="E47" s="4"/>
      <c r="F47" s="4">
        <v>9</v>
      </c>
      <c r="G47" s="1" t="s">
        <v>23</v>
      </c>
      <c r="H47" s="2">
        <v>28613</v>
      </c>
    </row>
    <row r="48" spans="1:8" x14ac:dyDescent="0.3">
      <c r="A48" s="2">
        <v>28687</v>
      </c>
      <c r="B48" s="1" t="s">
        <v>21</v>
      </c>
      <c r="C48" s="1" t="s">
        <v>38</v>
      </c>
      <c r="D48" s="4"/>
      <c r="E48" s="4"/>
      <c r="F48" s="4">
        <v>2</v>
      </c>
      <c r="G48" s="1" t="s">
        <v>23</v>
      </c>
      <c r="H48" s="2">
        <v>28614</v>
      </c>
    </row>
    <row r="49" spans="1:8" x14ac:dyDescent="0.3">
      <c r="A49" s="2">
        <v>28688</v>
      </c>
      <c r="B49" s="1" t="s">
        <v>21</v>
      </c>
      <c r="C49" s="1" t="s">
        <v>39</v>
      </c>
      <c r="D49" s="4"/>
      <c r="E49" s="4"/>
      <c r="F49" s="4">
        <v>2</v>
      </c>
      <c r="G49" s="1" t="s">
        <v>23</v>
      </c>
      <c r="H49" s="2">
        <v>28614</v>
      </c>
    </row>
    <row r="50" spans="1:8" x14ac:dyDescent="0.3">
      <c r="A50" s="2">
        <v>28689</v>
      </c>
      <c r="B50" s="1" t="s">
        <v>21</v>
      </c>
      <c r="C50" s="1" t="s">
        <v>50</v>
      </c>
      <c r="D50" s="4"/>
      <c r="E50" s="4"/>
      <c r="F50" s="4">
        <v>4</v>
      </c>
      <c r="G50" s="1" t="s">
        <v>23</v>
      </c>
      <c r="H50" s="2">
        <v>28614</v>
      </c>
    </row>
    <row r="51" spans="1:8" x14ac:dyDescent="0.3">
      <c r="A51" s="2">
        <v>28690</v>
      </c>
      <c r="B51" s="1" t="s">
        <v>21</v>
      </c>
      <c r="C51" s="1" t="s">
        <v>51</v>
      </c>
      <c r="D51" s="4"/>
      <c r="E51" s="4"/>
      <c r="F51" s="4">
        <v>1</v>
      </c>
      <c r="G51" s="1" t="s">
        <v>23</v>
      </c>
      <c r="H51" s="2">
        <v>28614</v>
      </c>
    </row>
    <row r="52" spans="1:8" x14ac:dyDescent="0.3">
      <c r="A52" s="2">
        <v>28691</v>
      </c>
      <c r="B52" s="1" t="s">
        <v>21</v>
      </c>
      <c r="C52" s="1" t="s">
        <v>52</v>
      </c>
      <c r="D52" s="4"/>
      <c r="E52" s="4"/>
      <c r="F52" s="4">
        <v>5</v>
      </c>
      <c r="G52" s="1" t="s">
        <v>23</v>
      </c>
      <c r="H52" s="2">
        <v>28614</v>
      </c>
    </row>
    <row r="53" spans="1:8" x14ac:dyDescent="0.3">
      <c r="A53" s="2">
        <v>28692</v>
      </c>
      <c r="B53" s="1" t="s">
        <v>21</v>
      </c>
      <c r="C53" s="1" t="s">
        <v>53</v>
      </c>
      <c r="D53" s="4"/>
      <c r="E53" s="4"/>
      <c r="F53" s="4">
        <v>4</v>
      </c>
      <c r="G53" s="1" t="s">
        <v>23</v>
      </c>
      <c r="H53" s="2">
        <v>28614</v>
      </c>
    </row>
    <row r="54" spans="1:8" x14ac:dyDescent="0.3">
      <c r="A54" s="2">
        <v>28693</v>
      </c>
      <c r="B54" s="1" t="s">
        <v>21</v>
      </c>
      <c r="C54" s="1" t="s">
        <v>54</v>
      </c>
      <c r="D54" s="4"/>
      <c r="E54" s="4"/>
      <c r="F54" s="4">
        <v>2</v>
      </c>
      <c r="G54" s="1" t="s">
        <v>23</v>
      </c>
      <c r="H54" s="2">
        <v>28614</v>
      </c>
    </row>
    <row r="55" spans="1:8" x14ac:dyDescent="0.3">
      <c r="A55" s="2">
        <v>28694</v>
      </c>
      <c r="B55" s="1" t="s">
        <v>21</v>
      </c>
      <c r="C55" s="1" t="s">
        <v>55</v>
      </c>
      <c r="D55" s="4"/>
      <c r="E55" s="4"/>
      <c r="F55" s="4">
        <v>3</v>
      </c>
      <c r="G55" s="1" t="s">
        <v>23</v>
      </c>
      <c r="H55" s="2">
        <v>28614</v>
      </c>
    </row>
    <row r="56" spans="1:8" x14ac:dyDescent="0.3">
      <c r="A56" s="2">
        <v>28695</v>
      </c>
      <c r="B56" s="1" t="s">
        <v>21</v>
      </c>
      <c r="C56" s="1" t="s">
        <v>46</v>
      </c>
      <c r="D56" s="4"/>
      <c r="E56" s="4"/>
      <c r="F56" s="4">
        <v>3</v>
      </c>
      <c r="G56" s="1" t="s">
        <v>23</v>
      </c>
      <c r="H56" s="2">
        <v>28614</v>
      </c>
    </row>
    <row r="57" spans="1:8" x14ac:dyDescent="0.3">
      <c r="A57" s="2">
        <v>28696</v>
      </c>
      <c r="B57" s="1" t="s">
        <v>21</v>
      </c>
      <c r="C57" s="1" t="s">
        <v>49</v>
      </c>
      <c r="D57" s="4"/>
      <c r="E57" s="4"/>
      <c r="F57" s="4">
        <v>9</v>
      </c>
      <c r="G57" s="1" t="s">
        <v>23</v>
      </c>
      <c r="H57" s="2">
        <v>28614</v>
      </c>
    </row>
    <row r="58" spans="1:8" x14ac:dyDescent="0.3">
      <c r="A58" s="2">
        <v>28697</v>
      </c>
      <c r="B58" s="1" t="s">
        <v>56</v>
      </c>
      <c r="C58" s="1" t="s">
        <v>57</v>
      </c>
      <c r="D58" s="4"/>
      <c r="E58" s="4"/>
      <c r="F58" s="4"/>
      <c r="G58" s="1"/>
      <c r="H58" s="2"/>
    </row>
    <row r="59" spans="1:8" x14ac:dyDescent="0.3">
      <c r="A59" s="2">
        <v>28698</v>
      </c>
      <c r="B59" s="1" t="s">
        <v>58</v>
      </c>
      <c r="C59" s="1" t="s">
        <v>57</v>
      </c>
      <c r="D59" s="4"/>
      <c r="E59" s="4"/>
      <c r="F59" s="4"/>
      <c r="G59" s="1"/>
      <c r="H59" s="2"/>
    </row>
    <row r="60" spans="1:8" x14ac:dyDescent="0.3">
      <c r="A60" s="2">
        <v>28701</v>
      </c>
      <c r="B60" s="1" t="s">
        <v>21</v>
      </c>
      <c r="C60" s="1" t="s">
        <v>49</v>
      </c>
      <c r="D60" s="4"/>
      <c r="E60" s="4">
        <v>12</v>
      </c>
      <c r="F60" s="4">
        <v>12</v>
      </c>
      <c r="G60" s="1" t="s">
        <v>23</v>
      </c>
      <c r="H60" s="2">
        <v>28615</v>
      </c>
    </row>
    <row r="61" spans="1:8" x14ac:dyDescent="0.3">
      <c r="A61" s="2">
        <v>28702</v>
      </c>
      <c r="B61" s="1" t="s">
        <v>21</v>
      </c>
      <c r="C61" s="1" t="s">
        <v>59</v>
      </c>
      <c r="D61" s="4"/>
      <c r="E61" s="4">
        <v>4</v>
      </c>
      <c r="F61" s="4">
        <v>4</v>
      </c>
      <c r="G61" s="1" t="s">
        <v>23</v>
      </c>
      <c r="H61" s="2">
        <v>28615</v>
      </c>
    </row>
    <row r="62" spans="1:8" x14ac:dyDescent="0.3">
      <c r="A62" s="2">
        <v>28703</v>
      </c>
      <c r="B62" s="1" t="s">
        <v>21</v>
      </c>
      <c r="C62" s="1" t="s">
        <v>60</v>
      </c>
      <c r="D62" s="4"/>
      <c r="E62" s="4"/>
      <c r="F62" s="4">
        <v>2</v>
      </c>
      <c r="G62" s="1" t="s">
        <v>23</v>
      </c>
      <c r="H62" s="2">
        <v>28616</v>
      </c>
    </row>
    <row r="63" spans="1:8" x14ac:dyDescent="0.3">
      <c r="A63" s="2">
        <v>28704</v>
      </c>
      <c r="B63" s="1" t="s">
        <v>21</v>
      </c>
      <c r="C63" s="1" t="s">
        <v>61</v>
      </c>
      <c r="D63" s="4"/>
      <c r="E63" s="4"/>
      <c r="F63" s="4">
        <v>3</v>
      </c>
      <c r="G63" s="1" t="s">
        <v>23</v>
      </c>
      <c r="H63" s="2">
        <v>28616</v>
      </c>
    </row>
    <row r="64" spans="1:8" x14ac:dyDescent="0.3">
      <c r="A64" s="2">
        <v>28705</v>
      </c>
      <c r="B64" s="1" t="s">
        <v>21</v>
      </c>
      <c r="C64" s="1" t="s">
        <v>46</v>
      </c>
      <c r="D64" s="4"/>
      <c r="E64" s="4"/>
      <c r="F64" s="4">
        <v>3</v>
      </c>
      <c r="G64" s="1" t="s">
        <v>23</v>
      </c>
      <c r="H64" s="2">
        <v>28616</v>
      </c>
    </row>
    <row r="65" spans="1:8" x14ac:dyDescent="0.3">
      <c r="A65" s="2">
        <v>28706</v>
      </c>
      <c r="B65" s="1" t="s">
        <v>21</v>
      </c>
      <c r="C65" s="1" t="s">
        <v>49</v>
      </c>
      <c r="D65" s="4"/>
      <c r="E65" s="4"/>
      <c r="F65" s="4">
        <v>6</v>
      </c>
      <c r="G65" s="1" t="s">
        <v>23</v>
      </c>
      <c r="H65" s="2">
        <v>28616</v>
      </c>
    </row>
    <row r="66" spans="1:8" x14ac:dyDescent="0.3">
      <c r="A66" s="2">
        <v>28707</v>
      </c>
      <c r="B66" s="1" t="s">
        <v>21</v>
      </c>
      <c r="C66" s="1" t="s">
        <v>62</v>
      </c>
      <c r="D66" s="4"/>
      <c r="E66" s="4"/>
      <c r="F66" s="4">
        <v>10</v>
      </c>
      <c r="G66" s="1" t="s">
        <v>23</v>
      </c>
      <c r="H66" s="2">
        <v>28596</v>
      </c>
    </row>
    <row r="67" spans="1:8" x14ac:dyDescent="0.3">
      <c r="A67" s="2">
        <v>28708</v>
      </c>
      <c r="B67" s="1" t="s">
        <v>21</v>
      </c>
      <c r="C67" s="1" t="s">
        <v>63</v>
      </c>
      <c r="D67" s="4"/>
      <c r="E67" s="4">
        <v>2</v>
      </c>
      <c r="F67" s="4">
        <v>2</v>
      </c>
      <c r="G67" s="1" t="s">
        <v>23</v>
      </c>
      <c r="H67" s="2">
        <v>28596</v>
      </c>
    </row>
    <row r="68" spans="1:8" x14ac:dyDescent="0.3">
      <c r="A68" s="2">
        <v>28709</v>
      </c>
      <c r="B68" s="1" t="s">
        <v>21</v>
      </c>
      <c r="C68" s="1" t="s">
        <v>64</v>
      </c>
      <c r="D68" s="4"/>
      <c r="E68" s="4">
        <v>4</v>
      </c>
      <c r="F68" s="4">
        <v>4</v>
      </c>
      <c r="G68" s="1" t="s">
        <v>23</v>
      </c>
      <c r="H68" s="2">
        <v>28596</v>
      </c>
    </row>
    <row r="69" spans="1:8" x14ac:dyDescent="0.3">
      <c r="A69" s="2">
        <v>28710</v>
      </c>
      <c r="B69" s="1" t="s">
        <v>21</v>
      </c>
      <c r="C69" s="1" t="s">
        <v>46</v>
      </c>
      <c r="D69" s="4"/>
      <c r="E69" s="4">
        <v>2</v>
      </c>
      <c r="F69" s="4">
        <v>2</v>
      </c>
      <c r="G69" s="1" t="s">
        <v>23</v>
      </c>
      <c r="H69" s="2">
        <v>28596</v>
      </c>
    </row>
    <row r="70" spans="1:8" x14ac:dyDescent="0.3">
      <c r="A70" s="2">
        <v>28711</v>
      </c>
      <c r="B70" s="1" t="s">
        <v>21</v>
      </c>
      <c r="C70" s="1" t="s">
        <v>49</v>
      </c>
      <c r="D70" s="4"/>
      <c r="E70" s="4">
        <v>6</v>
      </c>
      <c r="F70" s="4">
        <v>6</v>
      </c>
      <c r="G70" s="1" t="s">
        <v>23</v>
      </c>
      <c r="H70" s="2">
        <v>28596</v>
      </c>
    </row>
    <row r="71" spans="1:8" x14ac:dyDescent="0.3">
      <c r="A71" s="2">
        <v>28712</v>
      </c>
      <c r="B71" s="1" t="s">
        <v>21</v>
      </c>
      <c r="C71" s="1" t="s">
        <v>65</v>
      </c>
      <c r="D71" s="4"/>
      <c r="E71" s="4"/>
      <c r="F71" s="4">
        <v>2</v>
      </c>
      <c r="G71" s="1" t="s">
        <v>23</v>
      </c>
      <c r="H71" s="2">
        <v>24239</v>
      </c>
    </row>
    <row r="72" spans="1:8" x14ac:dyDescent="0.3">
      <c r="A72" s="2">
        <v>28713</v>
      </c>
      <c r="B72" s="1" t="s">
        <v>21</v>
      </c>
      <c r="C72" s="1" t="s">
        <v>66</v>
      </c>
      <c r="D72" s="4"/>
      <c r="E72" s="4"/>
      <c r="F72" s="4">
        <v>6</v>
      </c>
      <c r="G72" s="1" t="s">
        <v>23</v>
      </c>
      <c r="H72" s="2">
        <v>24239</v>
      </c>
    </row>
    <row r="73" spans="1:8" x14ac:dyDescent="0.3">
      <c r="A73" s="2">
        <v>28714</v>
      </c>
      <c r="B73" s="1" t="s">
        <v>21</v>
      </c>
      <c r="C73" s="1" t="s">
        <v>67</v>
      </c>
      <c r="D73" s="4"/>
      <c r="E73" s="4"/>
      <c r="F73" s="4">
        <v>2</v>
      </c>
      <c r="G73" s="1" t="s">
        <v>23</v>
      </c>
      <c r="H73" s="2">
        <v>24239</v>
      </c>
    </row>
    <row r="74" spans="1:8" x14ac:dyDescent="0.3">
      <c r="A74" s="2">
        <v>28715</v>
      </c>
      <c r="B74" s="1" t="s">
        <v>21</v>
      </c>
      <c r="C74" s="1" t="s">
        <v>68</v>
      </c>
      <c r="D74" s="4"/>
      <c r="E74" s="4"/>
      <c r="F74" s="4">
        <v>1</v>
      </c>
      <c r="G74" s="1" t="s">
        <v>23</v>
      </c>
      <c r="H74" s="2">
        <v>24239</v>
      </c>
    </row>
    <row r="75" spans="1:8" x14ac:dyDescent="0.3">
      <c r="A75" s="2">
        <v>28716</v>
      </c>
      <c r="B75" s="1" t="s">
        <v>21</v>
      </c>
      <c r="C75" s="1" t="s">
        <v>46</v>
      </c>
      <c r="D75" s="4"/>
      <c r="E75" s="4"/>
      <c r="F75" s="4">
        <v>3</v>
      </c>
      <c r="G75" s="1" t="s">
        <v>23</v>
      </c>
      <c r="H75" s="2">
        <v>24239</v>
      </c>
    </row>
    <row r="76" spans="1:8" x14ac:dyDescent="0.3">
      <c r="A76" s="2">
        <v>28717</v>
      </c>
      <c r="B76" s="1" t="s">
        <v>21</v>
      </c>
      <c r="C76" s="1" t="s">
        <v>49</v>
      </c>
      <c r="D76" s="4"/>
      <c r="E76" s="4"/>
      <c r="F76" s="4">
        <v>9</v>
      </c>
      <c r="G76" s="1" t="s">
        <v>23</v>
      </c>
      <c r="H76" s="2">
        <v>24239</v>
      </c>
    </row>
    <row r="77" spans="1:8" x14ac:dyDescent="0.3">
      <c r="A77" s="2">
        <v>28718</v>
      </c>
      <c r="B77" s="1" t="s">
        <v>21</v>
      </c>
      <c r="C77" s="1" t="s">
        <v>69</v>
      </c>
      <c r="D77" s="4"/>
      <c r="E77" s="4"/>
      <c r="F77" s="4">
        <v>2</v>
      </c>
      <c r="G77" s="1" t="s">
        <v>23</v>
      </c>
      <c r="H77" s="2">
        <v>24239</v>
      </c>
    </row>
    <row r="78" spans="1:8" x14ac:dyDescent="0.3">
      <c r="A78" s="2">
        <v>28736</v>
      </c>
      <c r="B78" s="1" t="s">
        <v>21</v>
      </c>
      <c r="C78" s="1" t="s">
        <v>70</v>
      </c>
      <c r="D78" s="4"/>
      <c r="E78" s="4"/>
      <c r="F78" s="4">
        <v>0.5</v>
      </c>
      <c r="G78" s="1"/>
      <c r="H78" s="2">
        <v>28613</v>
      </c>
    </row>
    <row r="79" spans="1:8" x14ac:dyDescent="0.3">
      <c r="A79" s="2">
        <v>28745</v>
      </c>
      <c r="B79" s="1" t="s">
        <v>71</v>
      </c>
      <c r="C79" s="1" t="s">
        <v>239</v>
      </c>
      <c r="D79" s="4"/>
      <c r="E79" s="4"/>
      <c r="F79" s="4"/>
      <c r="G79" s="1"/>
      <c r="H79" s="2"/>
    </row>
    <row r="80" spans="1:8" x14ac:dyDescent="0.3">
      <c r="A80" s="2">
        <v>28749</v>
      </c>
      <c r="B80" s="1" t="s">
        <v>71</v>
      </c>
      <c r="C80" s="1" t="s">
        <v>240</v>
      </c>
      <c r="D80" s="4"/>
      <c r="E80" s="4"/>
      <c r="F80" s="4"/>
      <c r="G80" s="1"/>
      <c r="H80" s="2"/>
    </row>
    <row r="81" spans="1:8" x14ac:dyDescent="0.3">
      <c r="A81" s="2">
        <v>28750</v>
      </c>
      <c r="B81" s="1" t="s">
        <v>71</v>
      </c>
      <c r="C81" s="1" t="s">
        <v>12</v>
      </c>
      <c r="D81" s="4"/>
      <c r="E81" s="4"/>
      <c r="F81" s="4"/>
      <c r="G81" s="1"/>
      <c r="H81" s="2"/>
    </row>
    <row r="82" spans="1:8" x14ac:dyDescent="0.3">
      <c r="A82" s="2">
        <v>28751</v>
      </c>
      <c r="B82" s="1" t="s">
        <v>71</v>
      </c>
      <c r="C82" s="1" t="s">
        <v>73</v>
      </c>
      <c r="D82" s="4"/>
      <c r="E82" s="4"/>
      <c r="F82" s="4"/>
      <c r="G82" s="1"/>
      <c r="H82" s="2"/>
    </row>
    <row r="83" spans="1:8" x14ac:dyDescent="0.3">
      <c r="A83" s="2">
        <v>28849</v>
      </c>
      <c r="B83" s="1" t="s">
        <v>58</v>
      </c>
      <c r="C83" s="1" t="s">
        <v>241</v>
      </c>
      <c r="D83" s="4"/>
      <c r="E83" s="4"/>
      <c r="F83" s="4"/>
      <c r="G83" s="1"/>
      <c r="H83" s="2"/>
    </row>
    <row r="84" spans="1:8" x14ac:dyDescent="0.3">
      <c r="A84" s="2">
        <v>28850</v>
      </c>
      <c r="B84" s="1" t="s">
        <v>58</v>
      </c>
      <c r="C84" s="1" t="s">
        <v>242</v>
      </c>
      <c r="D84" s="4"/>
      <c r="E84" s="4"/>
      <c r="F84" s="4"/>
      <c r="G84" s="1"/>
      <c r="H84" s="2"/>
    </row>
    <row r="85" spans="1:8" x14ac:dyDescent="0.3">
      <c r="A85" s="2">
        <v>28851</v>
      </c>
      <c r="B85" s="1" t="s">
        <v>58</v>
      </c>
      <c r="C85" s="1" t="s">
        <v>243</v>
      </c>
      <c r="D85" s="4"/>
      <c r="E85" s="4"/>
      <c r="F85" s="4"/>
      <c r="G85" s="1"/>
      <c r="H85" s="2"/>
    </row>
    <row r="86" spans="1:8" x14ac:dyDescent="0.3">
      <c r="A86" s="2">
        <v>28852</v>
      </c>
      <c r="B86" s="1" t="s">
        <v>58</v>
      </c>
      <c r="C86" s="1" t="s">
        <v>244</v>
      </c>
      <c r="D86" s="4"/>
      <c r="E86" s="4"/>
      <c r="F86" s="4"/>
      <c r="G86" s="1"/>
      <c r="H86" s="2"/>
    </row>
    <row r="87" spans="1:8" x14ac:dyDescent="0.3">
      <c r="A87" s="2">
        <v>28853</v>
      </c>
      <c r="B87" s="1" t="s">
        <v>58</v>
      </c>
      <c r="C87" s="1" t="s">
        <v>245</v>
      </c>
      <c r="D87" s="4"/>
      <c r="E87" s="4"/>
      <c r="F87" s="4"/>
      <c r="G87" s="1"/>
      <c r="H87" s="2"/>
    </row>
  </sheetData>
  <dataValidations count="16"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A2" xr:uid="{D08F52FF-03B6-4A80-ABA9-46F05385F484}">
      <formula1>"ID"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B2" xr:uid="{9D10B5A5-A176-43A8-BF52-A9F8131F94A3}">
      <formula1>"Work Item Type"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C2" xr:uid="{1E1853A2-FDB4-4904-9097-4A5006D58B0B}">
      <formula1>"Title"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D2" xr:uid="{31AAD3EC-1802-4759-9130-F470329D8EF4}">
      <formula1>"Tags"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E2" xr:uid="{39B80FB6-7624-43ED-8B0E-BECF97CC9E2E}">
      <formula1>"Remaining Work"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F2" xr:uid="{508446A5-EEF5-44F3-9481-EBC9F9B2D60C}">
      <formula1>"Original Estimate"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G2" xr:uid="{BF1328C3-E00D-4AC8-A311-BF45135EF276}">
      <formula1>"Activity"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H2" xr:uid="{847DD118-8796-4660-A0D9-CA27CB0B5A33}">
      <formula1>"Parent"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3" xr:uid="{FAA97AA7-7DBC-450B-863F-1CA2A65CBEA0}">
      <formula1>"24239"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3" xr:uid="{53E2CF0B-8BFD-486D-9299-B53706FABAB6}">
      <formula1>"Product Backlog Item"</formula1>
    </dataValidation>
    <dataValidation type="textLength" showInputMessage="1" sqref="C3" xr:uid="{49DE9A2D-3063-44F8-B22B-4BF8E410EB3D}">
      <formula1>1</formula1>
      <formula2>255</formula2>
    </dataValidation>
    <dataValidation type="textLength" allowBlank="1" showInputMessage="1" sqref="D3" xr:uid="{7D8B0856-8DA6-4FA7-AED6-0CAFFF798ED3}">
      <formula1>0</formula1>
      <formula2>32767</formula2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E3" xr:uid="{5BFC9F97-8824-4675-A543-0C68629BD4B6}">
      <formula1>" "</formula1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F3" xr:uid="{548F1606-9A5E-46CE-ADFF-E22D24D4760D}">
      <formula1>" "</formula1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G3" xr:uid="{06000B87-84D4-4FA5-83BE-3EDD9F540697}">
      <formula1>" 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H3" xr:uid="{B0B51C80-0E30-482F-9E94-F8A0F644F52F}">
      <formula1>" 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7F9A-5424-4624-A599-8D18B854611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5324-8AEF-4D9A-9FAD-E84A4C8EE87D}">
  <dimension ref="A1:J145"/>
  <sheetViews>
    <sheetView workbookViewId="0"/>
  </sheetViews>
  <sheetFormatPr defaultRowHeight="14.4" x14ac:dyDescent="0.3"/>
  <cols>
    <col min="1" max="4" width="200.77734375" customWidth="1"/>
  </cols>
  <sheetData>
    <row r="1" spans="1:10" x14ac:dyDescent="0.3">
      <c r="A1" s="1" t="s">
        <v>79</v>
      </c>
      <c r="B1" s="2" t="s">
        <v>79</v>
      </c>
      <c r="C1" s="3" t="s">
        <v>79</v>
      </c>
      <c r="D1" s="4" t="s">
        <v>79</v>
      </c>
      <c r="E1" s="1" t="s">
        <v>84</v>
      </c>
      <c r="F1" s="1" t="s">
        <v>91</v>
      </c>
      <c r="G1" s="1" t="s">
        <v>84</v>
      </c>
      <c r="H1" s="1" t="s">
        <v>91</v>
      </c>
      <c r="I1" s="1" t="s">
        <v>10</v>
      </c>
      <c r="J1" s="1" t="s">
        <v>91</v>
      </c>
    </row>
    <row r="2" spans="1:10" x14ac:dyDescent="0.3">
      <c r="A2" t="s">
        <v>80</v>
      </c>
      <c r="B2" t="s">
        <v>81</v>
      </c>
      <c r="C2" t="s">
        <v>82</v>
      </c>
      <c r="D2" t="s">
        <v>83</v>
      </c>
      <c r="E2" s="1" t="s">
        <v>85</v>
      </c>
      <c r="F2" s="1" t="s">
        <v>72</v>
      </c>
      <c r="G2" s="1" t="s">
        <v>94</v>
      </c>
      <c r="H2" s="1" t="s">
        <v>72</v>
      </c>
      <c r="I2" s="1" t="s">
        <v>248</v>
      </c>
      <c r="J2" s="1" t="s">
        <v>72</v>
      </c>
    </row>
    <row r="3" spans="1:10" x14ac:dyDescent="0.3">
      <c r="E3" s="1" t="s">
        <v>86</v>
      </c>
      <c r="F3" s="1" t="s">
        <v>23</v>
      </c>
      <c r="G3" s="1" t="s">
        <v>95</v>
      </c>
      <c r="H3" s="1" t="s">
        <v>23</v>
      </c>
      <c r="I3" s="1" t="s">
        <v>249</v>
      </c>
      <c r="J3" s="1" t="s">
        <v>23</v>
      </c>
    </row>
    <row r="4" spans="1:10" x14ac:dyDescent="0.3">
      <c r="E4" s="1" t="s">
        <v>87</v>
      </c>
      <c r="F4" s="1" t="s">
        <v>92</v>
      </c>
      <c r="G4" s="1" t="s">
        <v>96</v>
      </c>
      <c r="H4" s="1" t="s">
        <v>92</v>
      </c>
      <c r="I4" s="1" t="s">
        <v>250</v>
      </c>
      <c r="J4" s="1" t="s">
        <v>92</v>
      </c>
    </row>
    <row r="5" spans="1:10" x14ac:dyDescent="0.3">
      <c r="E5" s="1" t="s">
        <v>88</v>
      </c>
      <c r="F5" s="1" t="s">
        <v>93</v>
      </c>
      <c r="G5" s="1" t="s">
        <v>97</v>
      </c>
      <c r="H5" s="1" t="s">
        <v>93</v>
      </c>
      <c r="I5" s="1" t="s">
        <v>251</v>
      </c>
      <c r="J5" s="1" t="s">
        <v>93</v>
      </c>
    </row>
    <row r="6" spans="1:10" x14ac:dyDescent="0.3">
      <c r="E6" s="1" t="s">
        <v>89</v>
      </c>
      <c r="F6" s="1" t="s">
        <v>13</v>
      </c>
      <c r="G6" s="1" t="s">
        <v>98</v>
      </c>
      <c r="H6" s="1" t="s">
        <v>27</v>
      </c>
      <c r="I6" s="1" t="s">
        <v>7</v>
      </c>
      <c r="J6" s="1" t="s">
        <v>13</v>
      </c>
    </row>
    <row r="7" spans="1:10" x14ac:dyDescent="0.3">
      <c r="E7" t="s">
        <v>90</v>
      </c>
      <c r="F7" t="s">
        <v>246</v>
      </c>
      <c r="G7" s="1" t="s">
        <v>99</v>
      </c>
      <c r="H7" s="1" t="s">
        <v>13</v>
      </c>
      <c r="I7" s="1" t="s">
        <v>21</v>
      </c>
      <c r="J7" s="1" t="s">
        <v>27</v>
      </c>
    </row>
    <row r="8" spans="1:10" x14ac:dyDescent="0.3">
      <c r="G8" s="1" t="s">
        <v>100</v>
      </c>
      <c r="H8" t="s">
        <v>247</v>
      </c>
      <c r="I8" s="1" t="s">
        <v>71</v>
      </c>
      <c r="J8" t="s">
        <v>253</v>
      </c>
    </row>
    <row r="9" spans="1:10" x14ac:dyDescent="0.3">
      <c r="G9" s="1" t="s">
        <v>101</v>
      </c>
      <c r="I9" t="s">
        <v>252</v>
      </c>
    </row>
    <row r="10" spans="1:10" x14ac:dyDescent="0.3">
      <c r="G10" s="1" t="s">
        <v>102</v>
      </c>
    </row>
    <row r="11" spans="1:10" x14ac:dyDescent="0.3">
      <c r="G11" s="1" t="s">
        <v>103</v>
      </c>
    </row>
    <row r="12" spans="1:10" x14ac:dyDescent="0.3">
      <c r="G12" s="1" t="s">
        <v>104</v>
      </c>
    </row>
    <row r="13" spans="1:10" x14ac:dyDescent="0.3">
      <c r="G13" s="1" t="s">
        <v>105</v>
      </c>
    </row>
    <row r="14" spans="1:10" x14ac:dyDescent="0.3">
      <c r="G14" s="1" t="s">
        <v>106</v>
      </c>
    </row>
    <row r="15" spans="1:10" x14ac:dyDescent="0.3">
      <c r="G15" s="1" t="s">
        <v>107</v>
      </c>
    </row>
    <row r="16" spans="1:10" x14ac:dyDescent="0.3">
      <c r="G16" s="1" t="s">
        <v>108</v>
      </c>
    </row>
    <row r="17" spans="7:7" x14ac:dyDescent="0.3">
      <c r="G17" s="1" t="s">
        <v>109</v>
      </c>
    </row>
    <row r="18" spans="7:7" x14ac:dyDescent="0.3">
      <c r="G18" s="1" t="s">
        <v>110</v>
      </c>
    </row>
    <row r="19" spans="7:7" x14ac:dyDescent="0.3">
      <c r="G19" s="1" t="s">
        <v>111</v>
      </c>
    </row>
    <row r="20" spans="7:7" x14ac:dyDescent="0.3">
      <c r="G20" s="1" t="s">
        <v>112</v>
      </c>
    </row>
    <row r="21" spans="7:7" x14ac:dyDescent="0.3">
      <c r="G21" s="1" t="s">
        <v>113</v>
      </c>
    </row>
    <row r="22" spans="7:7" x14ac:dyDescent="0.3">
      <c r="G22" s="1" t="s">
        <v>114</v>
      </c>
    </row>
    <row r="23" spans="7:7" x14ac:dyDescent="0.3">
      <c r="G23" s="1" t="s">
        <v>115</v>
      </c>
    </row>
    <row r="24" spans="7:7" x14ac:dyDescent="0.3">
      <c r="G24" s="1" t="s">
        <v>116</v>
      </c>
    </row>
    <row r="25" spans="7:7" x14ac:dyDescent="0.3">
      <c r="G25" s="1" t="s">
        <v>117</v>
      </c>
    </row>
    <row r="26" spans="7:7" x14ac:dyDescent="0.3">
      <c r="G26" s="1" t="s">
        <v>118</v>
      </c>
    </row>
    <row r="27" spans="7:7" x14ac:dyDescent="0.3">
      <c r="G27" s="1" t="s">
        <v>119</v>
      </c>
    </row>
    <row r="28" spans="7:7" x14ac:dyDescent="0.3">
      <c r="G28" s="1" t="s">
        <v>120</v>
      </c>
    </row>
    <row r="29" spans="7:7" x14ac:dyDescent="0.3">
      <c r="G29" s="1" t="s">
        <v>121</v>
      </c>
    </row>
    <row r="30" spans="7:7" x14ac:dyDescent="0.3">
      <c r="G30" s="1" t="s">
        <v>122</v>
      </c>
    </row>
    <row r="31" spans="7:7" x14ac:dyDescent="0.3">
      <c r="G31" s="1" t="s">
        <v>123</v>
      </c>
    </row>
    <row r="32" spans="7:7" x14ac:dyDescent="0.3">
      <c r="G32" s="1" t="s">
        <v>124</v>
      </c>
    </row>
    <row r="33" spans="7:7" x14ac:dyDescent="0.3">
      <c r="G33" s="1" t="s">
        <v>125</v>
      </c>
    </row>
    <row r="34" spans="7:7" x14ac:dyDescent="0.3">
      <c r="G34" s="1" t="s">
        <v>126</v>
      </c>
    </row>
    <row r="35" spans="7:7" x14ac:dyDescent="0.3">
      <c r="G35" s="1" t="s">
        <v>127</v>
      </c>
    </row>
    <row r="36" spans="7:7" x14ac:dyDescent="0.3">
      <c r="G36" s="1" t="s">
        <v>128</v>
      </c>
    </row>
    <row r="37" spans="7:7" x14ac:dyDescent="0.3">
      <c r="G37" s="1" t="s">
        <v>129</v>
      </c>
    </row>
    <row r="38" spans="7:7" x14ac:dyDescent="0.3">
      <c r="G38" s="1" t="s">
        <v>130</v>
      </c>
    </row>
    <row r="39" spans="7:7" x14ac:dyDescent="0.3">
      <c r="G39" s="1" t="s">
        <v>131</v>
      </c>
    </row>
    <row r="40" spans="7:7" x14ac:dyDescent="0.3">
      <c r="G40" s="1" t="s">
        <v>132</v>
      </c>
    </row>
    <row r="41" spans="7:7" x14ac:dyDescent="0.3">
      <c r="G41" s="1" t="s">
        <v>133</v>
      </c>
    </row>
    <row r="42" spans="7:7" x14ac:dyDescent="0.3">
      <c r="G42" s="1" t="s">
        <v>134</v>
      </c>
    </row>
    <row r="43" spans="7:7" x14ac:dyDescent="0.3">
      <c r="G43" s="1" t="s">
        <v>135</v>
      </c>
    </row>
    <row r="44" spans="7:7" x14ac:dyDescent="0.3">
      <c r="G44" s="1" t="s">
        <v>136</v>
      </c>
    </row>
    <row r="45" spans="7:7" x14ac:dyDescent="0.3">
      <c r="G45" s="1" t="s">
        <v>137</v>
      </c>
    </row>
    <row r="46" spans="7:7" x14ac:dyDescent="0.3">
      <c r="G46" s="1" t="s">
        <v>138</v>
      </c>
    </row>
    <row r="47" spans="7:7" x14ac:dyDescent="0.3">
      <c r="G47" s="1" t="s">
        <v>139</v>
      </c>
    </row>
    <row r="48" spans="7:7" x14ac:dyDescent="0.3">
      <c r="G48" s="1" t="s">
        <v>140</v>
      </c>
    </row>
    <row r="49" spans="7:7" x14ac:dyDescent="0.3">
      <c r="G49" s="1" t="s">
        <v>141</v>
      </c>
    </row>
    <row r="50" spans="7:7" x14ac:dyDescent="0.3">
      <c r="G50" s="1" t="s">
        <v>142</v>
      </c>
    </row>
    <row r="51" spans="7:7" x14ac:dyDescent="0.3">
      <c r="G51" s="1" t="s">
        <v>143</v>
      </c>
    </row>
    <row r="52" spans="7:7" x14ac:dyDescent="0.3">
      <c r="G52" s="1" t="s">
        <v>144</v>
      </c>
    </row>
    <row r="53" spans="7:7" x14ac:dyDescent="0.3">
      <c r="G53" s="1" t="s">
        <v>145</v>
      </c>
    </row>
    <row r="54" spans="7:7" x14ac:dyDescent="0.3">
      <c r="G54" s="1" t="s">
        <v>146</v>
      </c>
    </row>
    <row r="55" spans="7:7" x14ac:dyDescent="0.3">
      <c r="G55" s="1" t="s">
        <v>147</v>
      </c>
    </row>
    <row r="56" spans="7:7" x14ac:dyDescent="0.3">
      <c r="G56" s="1" t="s">
        <v>148</v>
      </c>
    </row>
    <row r="57" spans="7:7" x14ac:dyDescent="0.3">
      <c r="G57" s="1" t="s">
        <v>149</v>
      </c>
    </row>
    <row r="58" spans="7:7" x14ac:dyDescent="0.3">
      <c r="G58" s="1" t="s">
        <v>150</v>
      </c>
    </row>
    <row r="59" spans="7:7" x14ac:dyDescent="0.3">
      <c r="G59" s="1" t="s">
        <v>151</v>
      </c>
    </row>
    <row r="60" spans="7:7" x14ac:dyDescent="0.3">
      <c r="G60" s="1" t="s">
        <v>152</v>
      </c>
    </row>
    <row r="61" spans="7:7" x14ac:dyDescent="0.3">
      <c r="G61" s="1" t="s">
        <v>153</v>
      </c>
    </row>
    <row r="62" spans="7:7" x14ac:dyDescent="0.3">
      <c r="G62" s="1" t="s">
        <v>154</v>
      </c>
    </row>
    <row r="63" spans="7:7" x14ac:dyDescent="0.3">
      <c r="G63" s="1" t="s">
        <v>155</v>
      </c>
    </row>
    <row r="64" spans="7:7" x14ac:dyDescent="0.3">
      <c r="G64" s="1" t="s">
        <v>156</v>
      </c>
    </row>
    <row r="65" spans="7:7" x14ac:dyDescent="0.3">
      <c r="G65" s="1" t="s">
        <v>157</v>
      </c>
    </row>
    <row r="66" spans="7:7" x14ac:dyDescent="0.3">
      <c r="G66" s="1" t="s">
        <v>158</v>
      </c>
    </row>
    <row r="67" spans="7:7" x14ac:dyDescent="0.3">
      <c r="G67" s="1" t="s">
        <v>159</v>
      </c>
    </row>
    <row r="68" spans="7:7" x14ac:dyDescent="0.3">
      <c r="G68" s="1" t="s">
        <v>160</v>
      </c>
    </row>
    <row r="69" spans="7:7" x14ac:dyDescent="0.3">
      <c r="G69" s="1" t="s">
        <v>161</v>
      </c>
    </row>
    <row r="70" spans="7:7" x14ac:dyDescent="0.3">
      <c r="G70" s="1" t="s">
        <v>162</v>
      </c>
    </row>
    <row r="71" spans="7:7" x14ac:dyDescent="0.3">
      <c r="G71" s="1" t="s">
        <v>163</v>
      </c>
    </row>
    <row r="72" spans="7:7" x14ac:dyDescent="0.3">
      <c r="G72" s="1" t="s">
        <v>164</v>
      </c>
    </row>
    <row r="73" spans="7:7" x14ac:dyDescent="0.3">
      <c r="G73" s="1" t="s">
        <v>165</v>
      </c>
    </row>
    <row r="74" spans="7:7" x14ac:dyDescent="0.3">
      <c r="G74" s="1" t="s">
        <v>166</v>
      </c>
    </row>
    <row r="75" spans="7:7" x14ac:dyDescent="0.3">
      <c r="G75" s="1" t="s">
        <v>167</v>
      </c>
    </row>
    <row r="76" spans="7:7" x14ac:dyDescent="0.3">
      <c r="G76" s="1" t="s">
        <v>168</v>
      </c>
    </row>
    <row r="77" spans="7:7" x14ac:dyDescent="0.3">
      <c r="G77" s="1" t="s">
        <v>169</v>
      </c>
    </row>
    <row r="78" spans="7:7" x14ac:dyDescent="0.3">
      <c r="G78" s="1" t="s">
        <v>170</v>
      </c>
    </row>
    <row r="79" spans="7:7" x14ac:dyDescent="0.3">
      <c r="G79" s="1" t="s">
        <v>171</v>
      </c>
    </row>
    <row r="80" spans="7:7" x14ac:dyDescent="0.3">
      <c r="G80" s="1" t="s">
        <v>172</v>
      </c>
    </row>
    <row r="81" spans="7:7" x14ac:dyDescent="0.3">
      <c r="G81" s="1" t="s">
        <v>173</v>
      </c>
    </row>
    <row r="82" spans="7:7" x14ac:dyDescent="0.3">
      <c r="G82" s="1" t="s">
        <v>174</v>
      </c>
    </row>
    <row r="83" spans="7:7" x14ac:dyDescent="0.3">
      <c r="G83" s="1" t="s">
        <v>175</v>
      </c>
    </row>
    <row r="84" spans="7:7" x14ac:dyDescent="0.3">
      <c r="G84" s="1" t="s">
        <v>176</v>
      </c>
    </row>
    <row r="85" spans="7:7" x14ac:dyDescent="0.3">
      <c r="G85" s="1" t="s">
        <v>177</v>
      </c>
    </row>
    <row r="86" spans="7:7" x14ac:dyDescent="0.3">
      <c r="G86" s="1" t="s">
        <v>178</v>
      </c>
    </row>
    <row r="87" spans="7:7" x14ac:dyDescent="0.3">
      <c r="G87" s="1" t="s">
        <v>179</v>
      </c>
    </row>
    <row r="88" spans="7:7" x14ac:dyDescent="0.3">
      <c r="G88" s="1" t="s">
        <v>180</v>
      </c>
    </row>
    <row r="89" spans="7:7" x14ac:dyDescent="0.3">
      <c r="G89" s="1" t="s">
        <v>181</v>
      </c>
    </row>
    <row r="90" spans="7:7" x14ac:dyDescent="0.3">
      <c r="G90" s="1" t="s">
        <v>182</v>
      </c>
    </row>
    <row r="91" spans="7:7" x14ac:dyDescent="0.3">
      <c r="G91" s="1" t="s">
        <v>183</v>
      </c>
    </row>
    <row r="92" spans="7:7" x14ac:dyDescent="0.3">
      <c r="G92" s="1" t="s">
        <v>184</v>
      </c>
    </row>
    <row r="93" spans="7:7" x14ac:dyDescent="0.3">
      <c r="G93" s="1" t="s">
        <v>185</v>
      </c>
    </row>
    <row r="94" spans="7:7" x14ac:dyDescent="0.3">
      <c r="G94" s="1" t="s">
        <v>186</v>
      </c>
    </row>
    <row r="95" spans="7:7" x14ac:dyDescent="0.3">
      <c r="G95" s="1" t="s">
        <v>187</v>
      </c>
    </row>
    <row r="96" spans="7:7" x14ac:dyDescent="0.3">
      <c r="G96" s="1" t="s">
        <v>188</v>
      </c>
    </row>
    <row r="97" spans="7:7" x14ac:dyDescent="0.3">
      <c r="G97" s="1" t="s">
        <v>189</v>
      </c>
    </row>
    <row r="98" spans="7:7" x14ac:dyDescent="0.3">
      <c r="G98" s="1" t="s">
        <v>190</v>
      </c>
    </row>
    <row r="99" spans="7:7" x14ac:dyDescent="0.3">
      <c r="G99" s="1" t="s">
        <v>191</v>
      </c>
    </row>
    <row r="100" spans="7:7" x14ac:dyDescent="0.3">
      <c r="G100" s="1" t="s">
        <v>192</v>
      </c>
    </row>
    <row r="101" spans="7:7" x14ac:dyDescent="0.3">
      <c r="G101" s="1" t="s">
        <v>193</v>
      </c>
    </row>
    <row r="102" spans="7:7" x14ac:dyDescent="0.3">
      <c r="G102" s="1" t="s">
        <v>194</v>
      </c>
    </row>
    <row r="103" spans="7:7" x14ac:dyDescent="0.3">
      <c r="G103" s="1" t="s">
        <v>195</v>
      </c>
    </row>
    <row r="104" spans="7:7" x14ac:dyDescent="0.3">
      <c r="G104" s="1" t="s">
        <v>196</v>
      </c>
    </row>
    <row r="105" spans="7:7" x14ac:dyDescent="0.3">
      <c r="G105" s="1" t="s">
        <v>197</v>
      </c>
    </row>
    <row r="106" spans="7:7" x14ac:dyDescent="0.3">
      <c r="G106" s="1" t="s">
        <v>198</v>
      </c>
    </row>
    <row r="107" spans="7:7" x14ac:dyDescent="0.3">
      <c r="G107" s="1" t="s">
        <v>199</v>
      </c>
    </row>
    <row r="108" spans="7:7" x14ac:dyDescent="0.3">
      <c r="G108" s="1" t="s">
        <v>200</v>
      </c>
    </row>
    <row r="109" spans="7:7" x14ac:dyDescent="0.3">
      <c r="G109" s="1" t="s">
        <v>201</v>
      </c>
    </row>
    <row r="110" spans="7:7" x14ac:dyDescent="0.3">
      <c r="G110" s="1" t="s">
        <v>202</v>
      </c>
    </row>
    <row r="111" spans="7:7" x14ac:dyDescent="0.3">
      <c r="G111" s="1" t="s">
        <v>203</v>
      </c>
    </row>
    <row r="112" spans="7:7" x14ac:dyDescent="0.3">
      <c r="G112" s="1" t="s">
        <v>204</v>
      </c>
    </row>
    <row r="113" spans="7:7" x14ac:dyDescent="0.3">
      <c r="G113" s="1" t="s">
        <v>205</v>
      </c>
    </row>
    <row r="114" spans="7:7" x14ac:dyDescent="0.3">
      <c r="G114" s="1" t="s">
        <v>206</v>
      </c>
    </row>
    <row r="115" spans="7:7" x14ac:dyDescent="0.3">
      <c r="G115" s="1" t="s">
        <v>207</v>
      </c>
    </row>
    <row r="116" spans="7:7" x14ac:dyDescent="0.3">
      <c r="G116" s="1" t="s">
        <v>208</v>
      </c>
    </row>
    <row r="117" spans="7:7" x14ac:dyDescent="0.3">
      <c r="G117" s="1" t="s">
        <v>209</v>
      </c>
    </row>
    <row r="118" spans="7:7" x14ac:dyDescent="0.3">
      <c r="G118" s="1" t="s">
        <v>210</v>
      </c>
    </row>
    <row r="119" spans="7:7" x14ac:dyDescent="0.3">
      <c r="G119" s="1" t="s">
        <v>211</v>
      </c>
    </row>
    <row r="120" spans="7:7" x14ac:dyDescent="0.3">
      <c r="G120" s="1" t="s">
        <v>212</v>
      </c>
    </row>
    <row r="121" spans="7:7" x14ac:dyDescent="0.3">
      <c r="G121" s="1" t="s">
        <v>213</v>
      </c>
    </row>
    <row r="122" spans="7:7" x14ac:dyDescent="0.3">
      <c r="G122" s="1" t="s">
        <v>214</v>
      </c>
    </row>
    <row r="123" spans="7:7" x14ac:dyDescent="0.3">
      <c r="G123" s="1" t="s">
        <v>215</v>
      </c>
    </row>
    <row r="124" spans="7:7" x14ac:dyDescent="0.3">
      <c r="G124" s="1" t="s">
        <v>216</v>
      </c>
    </row>
    <row r="125" spans="7:7" x14ac:dyDescent="0.3">
      <c r="G125" s="1" t="s">
        <v>217</v>
      </c>
    </row>
    <row r="126" spans="7:7" x14ac:dyDescent="0.3">
      <c r="G126" s="1" t="s">
        <v>218</v>
      </c>
    </row>
    <row r="127" spans="7:7" x14ac:dyDescent="0.3">
      <c r="G127" s="1" t="s">
        <v>219</v>
      </c>
    </row>
    <row r="128" spans="7:7" x14ac:dyDescent="0.3">
      <c r="G128" s="1" t="s">
        <v>220</v>
      </c>
    </row>
    <row r="129" spans="7:7" x14ac:dyDescent="0.3">
      <c r="G129" s="1" t="s">
        <v>221</v>
      </c>
    </row>
    <row r="130" spans="7:7" x14ac:dyDescent="0.3">
      <c r="G130" s="1" t="s">
        <v>222</v>
      </c>
    </row>
    <row r="131" spans="7:7" x14ac:dyDescent="0.3">
      <c r="G131" s="1" t="s">
        <v>223</v>
      </c>
    </row>
    <row r="132" spans="7:7" x14ac:dyDescent="0.3">
      <c r="G132" s="1" t="s">
        <v>224</v>
      </c>
    </row>
    <row r="133" spans="7:7" x14ac:dyDescent="0.3">
      <c r="G133" s="1" t="s">
        <v>225</v>
      </c>
    </row>
    <row r="134" spans="7:7" x14ac:dyDescent="0.3">
      <c r="G134" s="1" t="s">
        <v>226</v>
      </c>
    </row>
    <row r="135" spans="7:7" x14ac:dyDescent="0.3">
      <c r="G135" s="1" t="s">
        <v>227</v>
      </c>
    </row>
    <row r="136" spans="7:7" x14ac:dyDescent="0.3">
      <c r="G136" s="1" t="s">
        <v>228</v>
      </c>
    </row>
    <row r="137" spans="7:7" x14ac:dyDescent="0.3">
      <c r="G137" s="1" t="s">
        <v>229</v>
      </c>
    </row>
    <row r="138" spans="7:7" x14ac:dyDescent="0.3">
      <c r="G138" s="1" t="s">
        <v>230</v>
      </c>
    </row>
    <row r="139" spans="7:7" x14ac:dyDescent="0.3">
      <c r="G139" s="1" t="s">
        <v>231</v>
      </c>
    </row>
    <row r="140" spans="7:7" x14ac:dyDescent="0.3">
      <c r="G140" s="1" t="s">
        <v>232</v>
      </c>
    </row>
    <row r="141" spans="7:7" x14ac:dyDescent="0.3">
      <c r="G141" s="1" t="s">
        <v>233</v>
      </c>
    </row>
    <row r="142" spans="7:7" x14ac:dyDescent="0.3">
      <c r="G142" s="1" t="s">
        <v>234</v>
      </c>
    </row>
    <row r="143" spans="7:7" x14ac:dyDescent="0.3">
      <c r="G143" s="1" t="s">
        <v>235</v>
      </c>
    </row>
    <row r="144" spans="7:7" x14ac:dyDescent="0.3">
      <c r="G144" s="1" t="s">
        <v>236</v>
      </c>
    </row>
    <row r="145" spans="7:7" x14ac:dyDescent="0.3">
      <c r="G145" t="s">
        <v>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2BCD12-2367-4A4E-A6B9-635E078C53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Gannt_11052025_11182025</vt:lpstr>
      <vt:lpstr>DirectQuery_11052025_11182025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Pope</dc:creator>
  <cp:lastModifiedBy>Justin Pope</cp:lastModifiedBy>
  <dcterms:created xsi:type="dcterms:W3CDTF">2025-11-10T12:31:29Z</dcterms:created>
  <dcterms:modified xsi:type="dcterms:W3CDTF">2025-11-12T21:03:45Z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S Team System Data DO NOT EDIT_GUID">
    <vt:lpwstr>62c90020-332a-4608-8688-8e6bc141310f</vt:lpwstr>
  </property>
  <property fmtid="{D5CDD505-2E9C-101B-9397-08002B2CF9AE}" pid="3" name="VS Team System Data DO NOT EDIT0">
    <vt:lpwstr>RVpSRwEAAAC9XWmT20aS/SsMf9hvkHAf3hlP4Fz3hmRr3D2ejw42CUlcsckeHrI1v37fS/ACUQXzQE3EHC0eicqqzJcvD4B/+dsfL/PR13q1ni0Xf/3OeWN/97cf/vL42H5phA8t1n/9brtafL+efK5fxmvrZTZZLdfLjxtrsnz5/utsvR3P15vtdLb8flOPX9bf1pv65fvlx4+zSb3eLFfjT/V3P/zl1xFEvq6W/1dPNj+NX+rvRpu/fvd4uMB</vt:lpwstr>
  </property>
  <property fmtid="{D5CDD505-2E9C-101B-9397-08002B2CF9AE}" pid="4" name="VS Team System Data DO NOT EDIT1">
    <vt:lpwstr>3P/xaL4t6Pfu0eBRZf3n7a/tL/1jNOt/5ut58XH//9u3bfD5er2e44niDtb99wjo+NF97O51Oaydxa6v2nNry68Cxxh/9Z8t7jp5913XcMBzLxX7ixeaz9WZ9coXm1V8fnx5/8+rItuNw8tvHIPB+85Op81vsPNe/RZOx5zj+c+h7zl7Rf23r1bfdcn9wkudk7DuulXjTqeVPg8CKPT+yphM3mYwnTm1PnaO6XMHTt9f9Bv3wd4rKltvF9B3eOX</vt:lpwstr>
  </property>
  <property fmtid="{D5CDD505-2E9C-101B-9397-08002B2CF9AE}" pid="5" name="VS Team System Data DO NOT EDIT2">
    <vt:lpwstr>7u/WyRz2f1YvNrc2CHqx0/Mp2tX+fjb0+ruqbEh+n+M/bxM7LSkwP5Id+uVpD6sKlXsplP4/WXfPw6nsw23073afEF+/R298/fl6sv+MbLer9jru96yX43fp9t9tJxKtPtZDPKxpMv8+WnEb90XMznyf5zlWtFnhVFVuBadmyltmUXVuhYTm4VheUUVhJZaWSVoeX4ll1apWMlmVXmlltYaWy5nlUVfNdNrCyznIofg5AAr0Badbzkqv66v2bQb</vt:lpwstr>
  </property>
  <property fmtid="{D5CDD505-2E9C-101B-9397-08002B2CF9AE}" pid="6" name="VS Team System Data DO NOT EDIT3">
    <vt:lpwstr>Mvbn/Y6xLGv0uEJZj163M42tWrlPtaTWplnFZUVOVYWcT1OZLmOlcdWnlsVPhBagW15qZWmVpBaSWm5JT9ZxVYSWkVuJY4VZFQBH4sLy4e0zApDKw2VK3fOFx4Ftm7h+XitXHcZ8xpJbtmulTlWmVqxY1WRFbpcd+pzZ3EYcWYFpeXllufzAwWW61hhYlX4Liy8ssrMsivLx1pzboSPv30rzC9ct63ccJigasleaUUxxWNRoUeDiUtq4IVcl+9y</vt:lpwstr>
  </property>
  <property fmtid="{D5CDD505-2E9C-101B-9397-08002B2CF9AE}" pid="7" name="VS Team System Data DO NOT EDIT4">
    <vt:lpwstr>YwvZ8zSxStcKZcPxLjY2Cq084v9GsJnAymBmuVX6lufyi7FtpaXaSLpLjq9YMjY3hlFHXA6WX5ZWGtDAMyyktJzS8rHpueUHVhhYic1/QiGoCPPBF3Ob9oJ3s8pKMysLeDYx9E646txWLtnvLjm6Ysl0QhhobuXYsoCWgJ0KfLpiXvEPnEGCFeVWWPBFKMePebSH2OcyoXQV0Dkd2yojOmGJ08JJwGMz5ZKT7pLDK5ZcpBSPLauwcNdKsddwroT</vt:lpwstr>
  </property>
  <property fmtid="{D5CDD505-2E9C-101B-9397-08002B2CF9AE}" pid="8" name="VS Team System Data DO NOT EDIT5">
    <vt:lpwstr>LrFJuaI5tjXn9quKGhhU/idPPUxqJbfNjqcMzgEtGNq0LhwRdg8TKXeWSo+6Sg+t22Q6IYWHEzfICOhiuD18K5OIhDhpLSwRUEq46h0MWRA6vItTFsWX7RA4gZfMVuDQOA+/a6l1WLNm/YsnYGvgSXC7MaJh2RsPEzrowWzEY2C+wDEYK5PWx6RlRG9BBbQS+Pfkw9MbWAy6dgG6B75YFzkC55Li7ZO8axIANJFboc7FuahWwjYqvwHhtjwgMDy</vt:lpwstr>
  </property>
  <property fmtid="{D5CDD505-2E9C-101B-9397-08002B2CF9AE}" pid="9" name="VS Team System Data DO NOT EDIT6">
    <vt:lpwstr>xkmTAbHx/2eBJAQbgZTAgfLsQVM7ET12dwyYBCGU8uSS7dZfeaXYbLO5Zv88q5GCP20fOIcE7CkAhjh4MVnuVmXEgku4/YAp1gMAA5KAQ74XcDogSMHR+AISHGeup4okAM54olh4IYjF4+o0Di07tgtklhZT4DG0yVNpMRKGxHcAD7HtCW8EoikRvQgagJZIchpRIvEWVKuIU6lHSX7Cvdry8EFomEC8/KE8A/cRXRABbsI8gUVACRBAYKj8NuY</vt:lpwstr>
  </property>
  <property fmtid="{D5CDD505-2E9C-101B-9397-08002B2CF9AE}" pid="10" name="VS Team System Data DO NOT EDIT7">
    <vt:lpwstr>2NdrA9AXVITeByMGKG+ECSHemUlShbc7Rhy1PHECc8XHobXBBRsLiAVh14I44AtIxbAQp2MNoADgBZANSAvrAVGDdvPbMutrDinWzqeQIpLxUFJ6b0ho2LlkWTlzmUWHYbXhG2wmajg1uKsudiI4QCuCNsAMoAnA8YA2QjJIZ2KygHNiX8xeQXDDWIHYk3IT8IwEMIzWT6Uc9XmodjlawIKti9HbM4Iu/A90BzYh+OQOQDPwBYAdVhUWtB6YKe2</vt:lpwstr>
  </property>
  <property fmtid="{D5CDD505-2E9C-101B-9397-08002B2CF9AE}" pid="11" name="VS Team System Data DO NOT EDIT8">
    <vt:lpwstr>LBlnE4eCZzbfguN5QlDBVxHj4Zb4IiAwVe9yx6LD8JqwDRuIZNVAL1voAVaN/QolZHB1DjGMkTvgLoMXg64hKmLrGURiojAOIxK44OsRVw0UhBck0WXoHIbXBBSsDmdKdLZ5wUj2CxEado2txxEjc3KEUoOg4mPkfAnNHA7KI3GpR+7zW46QT8AIgBOqxBVs/zI+F4bXhG1sTSomCZionB1WwbrhctgspCEANugBq4BfwfBx+r5EP+Qj4CEgf1g</vt:lpwstr>
  </property>
  <property fmtid="{D5CDD505-2E9C-101B-9397-08002B2CF9AE}" pid="12" name="VS Team System Data DO NOT EDIT9">
    <vt:lpwstr>pdIX5g1qAXyOggErD/WDphToGKpZ8TUCBt4DdkPOmQosqMjNYCNILrA6JC6wCToW9C8XkubSMCEb4Fpafu8yo4MCxZFqIil5MVUDAA7UtKwzjmrANg4WdgkIEOYMudhNJlN9kdJVsaElLiCXvItTZjISwB0ROLBkfg0UzvoQkRHAI5oQFQzvoVRJfusvKnErHNGIeIsJXUTJDIqH3eO6Idbg4QBleh+QUgRHEA7EukDiJvca3EOnBPSKfEZooGP</vt:lpwstr>
  </property>
  <property fmtid="{D5CDD505-2E9C-101B-9397-08002B2CF9AE}" pid="13" name="VS Team System Data DO NOT EDIT10">
    <vt:lpwstr>Kf4N34w4mZUTnBpbh8TdiGayF+gdwjHMDHkKTCbVLik1DjhHCFcIZUG9TJl+QQp8LDkPwJ60U0ATrCtEFQsVKSE58cERQ08i8j+nGgNIzelDuXkwUPIvEAT7AJDuRNgsWwd5gHlpYLqcBn4JDwVfAjZtcONxSAgwAIEA8kowKTYibrieVcmrrqawU6vhEITjTUDst1hRuRMzm0Y+w5ToGGkxJgYKzQBLkTDBfrcwSoEalh9IBuoAhcNS74SdeWN</vt:lpwstr>
  </property>
  <property fmtid="{D5CDD505-2E9C-101B-9397-08002B2CF9AE}" pid="14" name="VS Team System Data DO NOT EDIT11">
    <vt:lpwstr>F5d5OjaiH8N3cCOYYEFfMfenTwYM7AEfA9nXkogZtBwmbuAbmB7I5a7eCjAGOwwXALIQaMXmgdsjxsOi6+rwaNjI6F/TeyG3zkp8zgsEFcuZZdLWXuZEbawTBK+hJwCxwASGgvb9wTMQyEaLHsgKEZEOmiDFAufx5Iz9S536YZ/TeyuxPuw3qQk8wTYNsUJJEiBwEMgcRzWCVIKMA8lyODQI6F2SKjASLFkgmYp0bRiQYcHAOxTpykdvAsS1S5n</vt:lpwstr>
  </property>
  <property fmtid="{D5CDD505-2E9C-101B-9397-08002B2CF9AE}" pid="15" name="VS Team System Data DO NOT EDIT12">
    <vt:lpwstr>209KuMtphbBUkEukQnSgUIKww78BbiDKgURm2HQpZa4sJOMDxweVCiSMY+exsQwzNmGQ6WNJ4lKp4c5xu7usit2X1hwRvBF6yfdTiWkeeTRWTL5TsHyQeozQsBVQvUiUAbEjCubCjCTiAEEBMnaxo4AAbq9JBdT0vxsY42vcESERsrF7BL9QIFs4XyiVI7J8KRNUQvFZKfUIyjAaeHAsKZcv9UkoSlyMxW4kiQ/wtzo5VCz5GvYPz6N9SsYKE4C</vt:lpwstr>
  </property>
  <property fmtid="{D5CDD505-2E9C-101B-9397-08002B2CF9AE}" pid="16" name="VS Team System Data DO NOT EDIT13">
    <vt:lpwstr>BANDAjpE0AetSYRfYNXAlbnrGlI/hXPgJjBmBBvEeLosdR0qALQbbEuzgu0F66ZKvQRD4Fg6UCbfHkOxK5IYRc6PFfEHy7Iz8HtsKgoFgBNuFcvA/mAELZRF5E8iGzW0VLQUVgf2+mkp3cTq+BkHyiuIBbk3VC7sZ5kSwXEgxOF8VEndBRZishlL/zGTffWIEi2MpQyIQErtsS7WxFN6ET5YX7/I17B+XgmECcYGsABKYNpADcdCXqhu5WiZpi5</vt:lpwstr>
  </property>
  <property fmtid="{D5CDD505-2E9C-101B-9397-08002B2CF9AE}" pid="17" name="VS Team System Data DO NOT EDIT14">
    <vt:lpwstr>TC0pRgCLWQj0cRlxxJXAfLTqToTP6VEz/g1eCCoXrJTqfkH8bX0H9YA06XFZWEVIMcIqGhIEzDz0jrAi6M9RmfqQv+IMrYJB9Fk7FI9ZrEP+QGI3aDmiCHgZs46tjSDYfxNfQ/kUgdSyULoRG0ElfDjibC4AAZruACQqbny9+hFPwjVhSQjzN3dQiSsZBEZi8uuSz2uIT1XFowiK+h/0Aw+L8vW4lYDFCwxTh8KUACuxIpA8QSaLCVCU1UcNelZ</vt:lpwstr>
  </property>
  <property fmtid="{D5CDD505-2E9C-101B-9397-08002B2CF9AE}" pid="18" name="VS Team System Data DO NOT EDIT15">
    <vt:lpwstr>eRSMstFIWA2WBSg3ZYSCXUqLt3la+g/yxYZQyJ2kAX/jNALp2SQSGnhMAwWICPGurRJuJwduwZzYmHUYQWtUR0ejM/DBWkzMJiL/e8a+g+TCOQ60b5ijvNFQoI1ppJ5Iel2EmIKSwg+1xiIybuS1iJKMsOqCIbAGt8V4u+x9AiWmnoXlnO9a4A5FW6USsOhsFlRwSv4J/YdTA9mi0NHFEGEgCq5VMmRoxLNKrIUX+gcHBVrZI3VlVyhKb57utpo</vt:lpwstr>
  </property>
  <property fmtid="{D5CDD505-2E9C-101B-9397-08002B2CF9AE}" pid="19" name="VS Team System Data DO NOT EDIT16">
    <vt:lpwstr>h9rFgXKXezOWrKCDIxKAlmJPd2QvoI3vUCshP/akxQM9QKkDqc940g7FhwsxJxwJlMikx1Uk3PGy1JXAOhlLHChxoz/VyukzzOoyaQJKz8GVTi3Wzmqo+F4if7vZji81pZhESB733ZZEJ2WIguv6jcaIrWr06Cw8TJQcqXfhsA2YZyGAB/cD5yGTD6RsUJJzsDkrDRVwOuJ1xVMBn3aESYOpIlAWojGiDhKESiheKD2xWF1C6JhK5FxVRk9ZpC0</vt:lpwstr>
  </property>
  <property fmtid="{D5CDD505-2E9C-101B-9397-08002B2CF9AE}" pid="20" name="VS Team System Data DO NOT EDIT17">
    <vt:lpwstr>cuiIz7oicDu4HxMCGAl5gBgjjiIMIfIQ6KeWRI3mEPSbvNmGEfiClBUQo8BX4BGsJ6iV3io6xvpOs3etY+meZ1B0dqRfCJAppZAFGcklSET6QTUEPkGqo4giPYzG7ZMDP5YtAlUqSMbIAKXJnWrdUtMC1bqltgUsiirX6UmDySq4AASeXHidYXSWlMFaOpHsM7yskIhVSv8ZJIbIjCiIxZt+rYnEKTABfQRQo1WlXd93OVfm4Q++PxEayUlzPkS</vt:lpwstr>
  </property>
  <property fmtid="{D5CDD505-2E9C-101B-9397-08002B2CF9AE}" pid="21" name="VS Team System Data DO NOT EDIT18">
    <vt:lpwstr>JRIHX1gvYKZEwlbffFbQNphyMjhMf50vHPhQKy7CflhEqqIkxq1CXTbnPWuaowHZIJkbdJKp0IGID3sM8cSEM2kfKHzdICoDiTXgEMIRfzBR/BH4BxYCKYCIweGQKxXShgrI4ziiVfE2c8m4sFs8f1Y6mfs5YUCG5LC5OnLCEQgQUfwLnjPGLptrBP5DGLzyVFBpBgu+HOcEbuPkcrLl3yNcyUuxMyRpcyDIF4Ukj2j5XSeB3yESwWyMEWEMA8k</vt:lpwstr>
  </property>
  <property fmtid="{D5CDD505-2E9C-101B-9397-08002B2CF9AE}" pid="22" name="VS Team System Data DO NOT EDIT19">
    <vt:lpwstr>c5EznSmkEpwJQCOtTOwJISZWCgi28tq8OhGc+eaBAD+QzYaSu9NfA8Y64kXwZYzcTlbkm8WmRzJn3LhyiXdNZOCNXv0MiCEVWdiaY4ww0xdQ1As+RpmiovATpESAcVwuJWkTcgPwegSj2GEdUlp4HLuIZfWUCqpY8UDQHQE4cZRsQQi0JFKzyORok2lzgwdBWRckwA0gFtJdgrfyqUGB9yDWZJaZERh7F9oy7CSKIVEJpYSPBYMeuWwzi8SMpk9</vt:lpwstr>
  </property>
  <property fmtid="{D5CDD505-2E9C-101B-9397-08002B2CF9AE}" pid="23" name="VS Team System Data DO NOT EDIT20">
    <vt:lpwstr>cIl1udQSHDWb7lJTNTrr0qyQVcRQmpl0nZzrZR00kPTEFmYthKiSYSnmfIVMfti7Glggk2RwVlpJzAorUgI2ZvCHOs3yurt8TQIAEAWJBtPBbibiagRjKd2GUjrF68CrUBgbaacnNlTyk2G1K0vjdVg47APpouNLr6MiKpaX9rKUxnzxDF4sFU5pQCCwwDoR5CIphPhCN0OZ1ODIj0BLKlWQONv1sMA/EOH9kJEEKscyLMFpIJ9MLNLMKnUtJbq</vt:lpwstr>
  </property>
  <property fmtid="{D5CDD505-2E9C-101B-9397-08002B2CF9AE}" pid="24" name="VS Team System Data DO NOT EDIT21">
    <vt:lpwstr>quhRL+6zYOZUnw12ubH4ppResgWWNhJvMQZWAxDqQ6l0mSAmCxTkA6dgCSSrpKrDDzD8uTBWjq5IYh9bJ3qctkz/SL4KVO1KT4/ygxzOHQeUyh5JIPaQU5m8Lc/KCXWfUFUqNaOULw4XSvjoX6FpKdE0IZ2IoE2qlUGFwiUToXCS9OYTKKiGWMPVyGXGAzuAkRAifcBJK15xzeA6Tc0R3WJInfBbSNDW8bg0huia4kI1WHDcAeIFVcwIzkaabvX</vt:lpwstr>
  </property>
  <property fmtid="{D5CDD505-2E9C-101B-9397-08002B2CF9AE}" pid="25" name="VS Team System Data DO NOT EDIT22">
    <vt:lpwstr>O3SgZPbOlXcB7BpknT4AOp6iXEkkJm8oCAsVgOy+4F6YerNgzFLl8TwhFEMrl+HNE2aCEuQx9bGdKgwLsgG7mUcliGljY9Y1BOM0c6y+ZGyGDkSyIJnZrRTNbg1XRUYcvXxJZSCrqAAE5VSik3FJ+HUXOcLSOLYPPbYXzDLocSiEqZhaWKUrbGfzJpyfEz0s4KZA6vvLRRG10TwjmdE5JeAl0LsQdsNMv5zRRSwT11ZFiT/SByH6Fu0t0AntDqH</vt:lpwstr>
  </property>
  <property fmtid="{D5CDD505-2E9C-101B-9397-08002B2CF9AE}" pid="26" name="VS Team System Data DO NOT EDIT23">
    <vt:lpwstr>XHRSEbLpNYEJ8R3EVxTTSre7VxE1wQXFowChkE4PBaWSdk/lilLeBvsAB8opVGEnIDd5IrwC+DA4fhCQwvhd5ysziQDS2nbnBPCaajXrADma0J4Kbwol5TPka5hM5LpS0XAkaw6lCHGxN1ZL9AXHCkSasG0K6Su+GQlEymE6ox7DM0qdQjvTtAoWf+l8ZBzBgWDSS5cDhiby57h2MH0SDlzQRePtJuTVK40ZxMB84xsijoW0iirSAQqqW/DZNja</vt:lpwstr>
  </property>
  <property fmtid="{D5CDD505-2E9C-101B-9397-08002B2CF9AE}" pid="27" name="VS Team System Data DO NOT EDIT24">
    <vt:lpwstr>UxMnt2spSk59cY8rIxhXMoqATBEHACsCo84FI4DfyGrYPBZACR2Z3KyEJso8LUILTsippPElFUFbEgiYGWdo1fUbtwsqylTmYh0CroOxxuEWhjK0kspQJAmsZFqVzCw4Uh1GWGEVVlIeT+qTtBqp0HNO1WaOnDQjAcgn1abkdlEmuCZPz6WpGe/6atxBgAhnFWRCEKkOmyuV5DbCVxCKXMk1m9H6Ulpk4IjIdjjVIPkPaCWLE1Th0uZGcA2XyqX</vt:lpwstr>
  </property>
  <property fmtid="{D5CDD505-2E9C-101B-9397-08002B2CF9AE}" pid="28" name="VS Team System Data DO NOT EDIT25">
    <vt:lpwstr>a0XSAwL15r4Xk4chlPWnZIicAqYZ9cDxabIij3bk0YWKJ7AJMgTRxE0mJMpnmAtRqkptulA+u4VKcs7SJL7YgiyN9iWYUqJRZX7gus5SgKW9w4dSpkqDkSY0k2zUm4bSBkG32F0mkgKsXxp/gGi4FqC5kJBquyUGhlCQllZ5tIa2ipkeAkM1bQ2TthYxoYl1RtJ+a9bnp4COcCRE7AydMtSGzCyrBNVwKh1s2maskAMgFackBCZMjFQ784cvoUi</vt:lpwstr>
  </property>
  <property fmtid="{D5CDD505-2E9C-101B-9397-08002B2CF9AE}" pid="29" name="VS Team System Data DO NOT EDIT26">
    <vt:lpwstr>GkA6EIPouwHksl2xFQjBJGfM4su8zmfAlF0CO+cL43DK7hUrz5ICV2lRJssHGVjOQlMkWB5WcSNAMZJQukQFNktN9E5pyw40jBOLHuknk3jTK2Z3yWzXI1Y1UYhopLXQp7tpQUgRap9GdgHIXQQVuGx7D9scy0I8QX0q+Gy/riCGlCC3ck7W/Gudg+k/FQnB7ymozoeDGE3JNScmZPbl4JUoKwLfYeytw0SC6JgMsOcCXtX855BnJ7UcjDg1Ehd</vt:lpwstr>
  </property>
  <property fmtid="{D5CDD505-2E9C-101B-9397-08002B2CF9AE}" pid="30" name="VS Team System Data DO NOT EDIT27">
    <vt:lpwstr>LGqmUv5zyOkOEIXYUtMOtQlnq7lKAdbelq8nthMIBXISuKJL7eEsM4urYGwCSCV3HkkJYqo6f+lxHVbOmNM7WUWgNueSduYM+WXNQ7CRAkpLGZ/mI8XSid1uVEwF1s65OQjHq/KGU/pPoHgsm7tMVwCFivpTkMB3uqVyHB1QItH0Cwlm4slaCJy5ezGX9qpuQZXsKJEkBm7msqKnKYDKdmOI3yrGZR1pffIQXaP5oP82ZdhKQRDEmNpnQJagKRx</vt:lpwstr>
  </property>
  <property fmtid="{D5CDD505-2E9C-101B-9397-08002B2CF9AE}" pid="31" name="VS Team System Data DO NOT EDIT28">
    <vt:lpwstr>UwRNdRyxG3CSq+Z/ZSaCdETwwGY5Sdr6EXc5kY1mrtl0EDLuvieTt46MWsAEoC5LtAE/AASEWrDyQG5gKtSV4S4TT67J0VzJWDhQloi7JbLqjNGRdTMJMomkMUBmcCo4IygH74NK+E+aQUzzYKYWcrsRC4iDMpuTq5es2OVrcjTmDHLjXCrFg5A0TfZLpt98Ce7MOCPChi05PicwhGSFcvdlIV0cXwZFE7mvp5ACaJTpBnAUPnhNisYbQAPmXon</vt:lpwstr>
  </property>
  <property fmtid="{D5CDD505-2E9C-101B-9397-08002B2CF9AE}" pid="32" name="VS Team System Data DO NOT EDIT29">
    <vt:lpwstr>c7ZA3A2GFjBAKAeKdrJJQwqhdOfFEpv7c/ZgwDiOWBjGtu6DJc85ThluiS4fJkmtStKZYRvaTyGyQNLX8fMc2OXctdxd5MkzpSpmqFAZry32VvA0xlEqVVP3YrvSlRx33zHYel3xY9u5+78lysan/2JzdOv5hudqM5x/Gm8+n9ywru6eOtDwlR+YNGgLdpdwIwcmoUqJnyDheyAioLV3oWBhrGciMXMy0DRuQyoRLKTkRwK8IWmOfnfvTh70tfX</vt:lpwstr>
  </property>
  <property fmtid="{D5CDD505-2E9C-101B-9397-08002B2CF9AE}" pid="33" name="VS Team System Data DO NOT EDIT30">
    <vt:lpwstr>+NSb1e/892Nh0vJrVe/+fxun6cbep/rObdN3cr3b+huuN+fxKH0+Bl1q/jSV2MN+PH3e38J/fHi+CHxXrDdT0UB4ePpvXUqeFy9TNSyBqKxgG2fjzx7HE99erAnh4Xtthf5GTZnzebV27itP76Zvzv7ap+M1m+vH3ezuZTWsbk82IJpjGr1woxp3tz2fdF14+zej59PDyyQF5LovjIjWfNHfQPeEFeP15avnq4bZ8fOImQs3U5nW3Gz/Pm3Qwuu</vt:lpwstr>
  </property>
  <property fmtid="{D5CDD505-2E9C-101B-9397-08002B2CF9AE}" pid="34" name="VS Team System Data DO NOT EDIT31">
    <vt:lpwstr>NrW7XUf0oHX1/nOXkaPm/FqM3pYfFyuXuSVU5EP03qxmW2+7UVW4/lpV3tVfzzdhff7hza84bMM3lR1PX0GV3tzcjm52vnFDnYAfT1XvQ+e27cPzm378Fh/rVf7Rw4MoXK+fHlZLt605B60QwptOzbcTqHh4b2btTxb56ma7/gchdF/jV9e/3uUbjbjyecX6LgeRGt5Mkfj22/Kd/V4+kauli6m51c6PeXjMG/7lOOkT3/vtlN+Gq8+1ZvRL/V6</vt:lpwstr>
  </property>
  <property fmtid="{D5CDD505-2E9C-101B-9397-08002B2CF9AE}" pid="35" name="VS Team System Data DO NOT EDIT32">
    <vt:lpwstr>Of9aj4Ax9XAH/v79w5vmAjv5B/EtfWONvnGfvtFt+ubL1QoIPIOu6UR8HP+HU2p2YDuoj4v+xws212sud3a1w3aotqJ3G9wbzf6X+uvtej7KE2be7GW0DtPTHKZnAKLIo0YUNLTJrr8cpLaU0+BvbAJ/f1z+Pqr41JlhlYPYo9SWciroldcNKPfLcskpsO164KOj3KPYlnq2Rj3bgHqyw+ANo3LxdbZaLgj0wyoqV3hYnMtvaRxpNI76NB4MV9t</vt:lpwstr>
  </property>
  <property fmtid="{D5CDD505-2E9C-101B-9397-08002B2CF9AE}" pid="36" name="VS Team System Data DO NOT EDIT33">
    <vt:lpwstr>lERNQerhCS+tQo3VoQOt0MZ5/W8+GYQsHPVtSW7oFGt0CEy5a/2s7W9XrEYtcA3vpTvRBcktJDdmPe8n+vUoils3q382oeSL7oKgKbE0A7dNsM78DY3eR/ijlSNiVyYjVn4rcylZ+hJAVn3g2yoF7d1jjTh+RRy5+FHdQzPNDO/BCVbjYv3Wzin3Rfru6A0by7XqzhF4HKafqOJEfqojl/q1es7Nv0wfJ3uu83tR3sJedTm1JrWOKXFtlhPu3DL</vt:lpwstr>
  </property>
  <property fmtid="{D5CDD505-2E9C-101B-9397-08002B2CF9AE}" pid="37" name="VS Team System Data DO NOT EDIT34">
    <vt:lpwstr>hTUX9EBLqTc+4Ua2QpiWakSQGj3hTwxiD2YbV8Xa7r6aia/TEsAO4l7wW3VNRkfZGJrO/x28srtnxY7U6FtjTTpEBRbwp0Y/5ebAdO2h8nn+vpFlj76Q1kKxP2SJMGRb0edyvFmkzqV6ltjvLVbFOvZuPhjrGpSB0v0bpCS2VNchT1xuwbK5DHe3tG6RbfGkzfp/z9GwoX2UfRLUU1aVLUG/RuVFSerAp++cewKorYg9SWdpqUKOpNiW6MFdl8O</vt:lpwstr>
  </property>
  <property fmtid="{D5CDD505-2E9C-101B-9397-08002B2CF9AE}" pid="38" name="VS Team System Data DO NOT EDIT35">
    <vt:lpwstr>flyTwBUgc6p0JZmmrQn6k17bo3uj7N/G0Gcg9yWapqsJzKR9RSz9WT2isUMWJhoUOZM8qmGriblcXtTnhsjBnPnr4D16cDF3j2W7qR3Iwdpmef4GiYqbxnK8AB59TS7o5OxY2znsk7OMPHUUR+vG1BqV7NON5t6Ma3rkT8syDTi99L9jq5K1i2vG9CVhjXb3JVJqItJp2JPvTHRkO/EBPnOl9Bj8aleTL4ZqZgdpCuLZYmGhCcmSPj72Wb2aWyo</vt:lpwstr>
  </property>
  <property fmtid="{D5CDD505-2E9C-101B-9397-08002B2CF9AE}" pid="39" name="VS Team System Data DO NOT EDIT36">
    <vt:lpwstr>NngU3lXUClRhH6+aKFWUf4BBLuCc74YrV+xlaioWPDBNzpH0os+NB/nw8jpGEoxz/Me6Xo3KP17BmWFjA9fym8v8vOBFzq7RUl2TjSQmspGj6ulq8hksGki5MqR35wotrTUJSdKbkNyo9f8i/B2GaIZVtiu6paUmG0lMNG3K9WQ8H7z/3ZLa0k2TiyQm2jMn2Pu0mn36VN9TbOzH35b8lsKaFCUx0Zk5OuoTJ41gYPPRh+3zftRmYO33Lnu4Vud</vt:lpwstr>
  </property>
  <property fmtid="{D5CDD505-2E9C-101B-9397-08002B2CF9AE}" pid="40" name="VS Team System Data DO NOT EDIT37">
    <vt:lpwstr>SrY3QJDRJb0Jz90YU9dd6vnwdvhe51/78Ai2dNSlO0pviDHD4Q/eujkd93rtS5qn9Sert0xtzyeAG5Bg7kRqKEaiCbGAiwhb1erKavd4XaXY6nctq5WuaHMbILN15vuYNa5PtfO3suQmWp5yp83qJwq2G2cy1SS9hXg9kmXuZFKnv16mU3L9loIpyX+1k3wHq8AKVURoZ7tzctf7dyRylnFibCgVbt6sMZ20fxqu7gtlOjRMxJ3qoAhZeNQPnL8</vt:lpwstr>
  </property>
  <property fmtid="{D5CDD505-2E9C-101B-9397-08002B2CF9AE}" pid="41" name="VS Team System Data DO NOT EDIT38">
    <vt:lpwstr>tNPSyaU6IGzC1lrcrqr1TdqhvrLFBgIL120hRKuSq7c28vEfeo9M/l6ovcYHdnH3in0z93P92m7AQrcU1eNwBq1WwxW3821k9sxCsKwypzNFI3zVe18Kb+WnD7+xpDbCSdF4ItZaWpN6OLb1MlxQJGvA3l/vgKSQdBJyChxAgTEPFQ3K3DQ6eMmygBXF7/DxC8YDD/URC8s9uaLcdWxly8bMDuDj9LOYzxHcR1LRBn5arr03jdwBn+LInC6SlGw</vt:lpwstr>
  </property>
  <property fmtid="{D5CDD505-2E9C-101B-9397-08002B2CF9AE}" pid="42" name="VS Team System Data DO NOT EDIT39">
    <vt:lpwstr>57i/gJ7+VFXX3XrIXF7Ww+D6Rub1Tfu6qtJwlwTnLerr2NWX6err6ZJ6JoIdl19XbP6ul191fXbxDVRv92N206N+e/+Aj3+q2ZryR23rl2j78D+e66vwn/VJV28/h+x54Gj7Lk9B1191TX7xDUxP9TVNzSrb9jVV8Oh+gdTBtN34DLZub5eV191ZT65I4+8Rt+BxzjO9e0OcjgafuWYmsRp49XA/nuOV13/dTT8yjHBr7r6Duy/5/p2/dfW8A3b</vt:lpwstr>
  </property>
  <property fmtid="{D5CDD505-2E9C-101B-9397-08002B2CF9AE}" pid="43" name="VS Team System Data DO NOT EDIT40">
    <vt:lpwstr>4FhAul7X67XUfH58ev9uWJWbaxwv8ePmZd49ZQ2rdHpZ5Y01k3w8nw8+SyezOyJYNYCdOJpjdYzUTBoF7xmf06unGKRzNJzR6eWMN/fFF9tNPXgv/Ci0pZmGHTom2OH7uubol4Hbo3eSVeXKxNEQQscEIewC7MCE4Rxgu4TB0RBCxwQh7Oo7MGE411dBGDSE0DF4c+bUWMJ+rm83YXc0hNAxeMft1FjCfq7vWcJuObay6YWX+7S98Y7HYyFxiPr</vt:lpwstr>
  </property>
  <property fmtid="{D5CDD505-2E9C-101B-9397-08002B2CF9AE}" pid="44" name="VS Team System Data DO NOT EDIT41">
    <vt:lpwstr>vXth5Idjylbep+rcXmHoK2Xy81Gj3fKm7VTp5VlVbJWVSZiQjA8+afVrAIJ+Wfepc0i/Zi3panp2PsnTd6129RK3/kSez9d1U7fjsEwrr0jPls6r6H1SV3HY6P87Wm+XqDlq2vxn6RM5xmEk1y3QzCvQ1U7GDq5fx6svderQlHVFcybr6KdetymTL8Wo6ypfz7ctiVCzvuYlop5RIbAQe5J2AmxLbTGQ5n8eLT0P5zk5Y13csZeZm9edtt4L1T8</vt:lpwstr>
  </property>
  <property fmtid="{D5CDD505-2E9C-101B-9397-08002B2CF9AE}" pid="45" name="VS Team System Data DO NOT EDIT42">
    <vt:lpwstr>tpPeLq7taHkg6CWi1ITXnFM3LL/f7Rvx9Ws6WJB7ft5LfEH3v4qha+CRRPt5vPuP6/hzLGozxFqq0sJBixxgY53o2HgoyDpBPnUvqWCWVOzijtza0vYg4HYWn30RaBr3lOB94wQIhk4G30Sz1e3zOdupv+E2Enso4ETzkFaKIleq8mBzLUVUI5X9s/XHtrbNoN9QwTmxphyrKbcrRRXjfBvc8mSgauHbcnSs4qx5YyDN/+ZJ8/mWIaIP+jnO4MU</vt:lpwstr>
  </property>
  <property fmtid="{D5CDD505-2E9C-101B-9397-08002B2CF9AE}" pid="46" name="VS Team System Data DO NOT EDIT43">
    <vt:lpwstr>KyZp4j75ylutcP58v70Qh16G9HKh3FoRmRiIyMyu8d4Tu+GQLWae/EqPGHXQlN86i9P3Kiq3Np48vCR4e8k4RWOF1A+C00zLxL3z4vcaL9NcGvIuRErlgs08tX4qunOeSZuvDbxvNcTK1Y825Xnppnm7Z8PufmhR4RGeXr1YCry8SqN3IPYln6a+zWNzPvIoyYM5DktuS3tNHdsGpn+OEDtHbPK/Sjb7b3FmnmeuH+e50a8OWhoAmv2wtUxU3MD</vt:lpwstr>
  </property>
  <property fmtid="{D5CDD505-2E9C-101B-9397-08002B2CF9AE}" pid="47" name="VS Team System Data DO NOT EDIT44">
    <vt:lpwstr>ppExj+PzVgY/yYPo86PkjU++7SuT8t1b5g70zvM8PGtF+8TwxNO0iD1DMLM1ODTaJuLdDpTy7j15/T+g68D9p7au3XFRT9M99kx0j891HXhYtK1rd1TU03SOPRPB5FzXgQdF27p2xkRjzdhV/CdjV/c+enTEO6sG0/TkRqbDFQ4XaGmrycj+ZKjuRm1/Xs0+zThFWK43sxdDd27tL9K6RktnDTX6kzmIG3X+pX4ZzxacbjF1wocrqE9YQ5P+ZMr</vt:lpwstr>
  </property>
  <property fmtid="{D5CDD505-2E9C-101B-9397-08002B2CF9AE}" pid="48" name="VS Team System Data DO NOT EDIT45">
    <vt:lpwstr>l1oftsTs3+rCcDfWzJOcP3aP8E/Gnmvoaz/UN/haJqdsPG/FKQqh8KJ28boLZz9bD2eye7u5ltrTSVA/6yd+tY4JN9Ys5/nbAebrltG4en76rgZ3Ib6mqeQhU/5zHjUXLlqojLtG0vodrtHTWFBN8I8xwvV5OZpLG5M3vwo1+/n1Rr4xo3lzgKL+ltabEYKTf09XaoL5dVTVB1TdTb+BazNQbGsmKeoOvCaS+GcLPWuvAGh4OcS9dpaWm3ODfPu</vt:lpwstr>
  </property>
  <property fmtid="{D5CDD505-2E9C-101B-9397-08002B2CF9AE}" pid="49" name="VS Team System Data DO NOT EDIT46">
    <vt:lpwstr>Z0gZYDV1U6iqoDqbpEj9cN4PCuYD0s/p5Uqjug67lh4HrK6sP+LSNllfH02+jjcjX6ezoahCMdSiwQDLl/T3XUSPmjSf2/mHTrM8/Hn+5gDfuRyb2Qo0kqo8XtoeLC2a+7NTkZ++r4WKTxschEG+xpNRt/Gty/TqS2GnyaeSnbxONoP2xX/HGKYSshp0JbFWcNP+2f6ri5tfW6WoKe1q/DEXE2fkTuUexBPz+JA+UjKJo3eq3yRuhHWr75PHq4g</vt:lpwstr>
  </property>
  <property fmtid="{D5CDD505-2E9C-101B-9397-08002B2CF9AE}" pid="50" name="VS Team System Data DO NOT EDIT47">
    <vt:lpwstr>47tMFAEPWzOFYoc5fxK84YJhR4ny9UAP5ZzIubU/DSd1bi/szpcqjDsTUgd5qx8cpJm+DLuH768dY6lq7OxvLCRr0gJVfqayPR3s8ADPESpkaS4CVAJJ/K6AYUet8+8y2L0frzZ7J9nvRm6z7O7SHON5hKdZk+s+RGB+E8ehnVzYXE8+TL6ZbwYvBwlkg+CWwermfGwzTxc/2W4H3Nu/XJArSqWalp18R2P2uz71S4zU97q8W5qoSm8GGm67kps</vt:lpwstr>
  </property>
  <property fmtid="{D5CDD505-2E9C-101B-9397-08002B2CF9AE}" pid="51" name="VS Team System Data DO NOT EDIT48">
    <vt:lpwstr>g9ciGrmKHF3TjouNtOO4CnYvdpZkJEo0lzi9QktdTeHFSKd1/2u4g+mZbWfz6f4ncLu6acotRsZ0HxCMP+3uY5RlDazkifyj+Ja2mmzQyGPufh3Pt/WIw7ZDw45IPghuRQzNsIdt4mc4P6yWz+Pn2XxQYN39FGJLcEtDzYiHbfCpUfJ8juGfDXAiXfl8AFsz4WGbwB01rxt4pkXB67qDLbZm2MM2EV3Uag/8aASF2p2nI8ShJu0MTaQlJ7+aOKh</vt:lpwstr>
  </property>
  <property fmtid="{D5CDD505-2E9C-101B-9397-08002B2CF9AE}" pid="52" name="VS Team System Data DO NOT EDIT49">
    <vt:lpwstr>dt340Uf2MXk2m2f/Lujci1Jmao4fhIk5HU8UdFaEmQwmN/MzZdrN8kaS60XqzXA1ZjKS+h0uI4icXaCmtqd6FRn4roK00129O44P0g7qOMt46d0Tbnpq5PPF8kIdoU9Ja/lftoprkpf+3vG+/kWJlboxFpCubb6EmhwmNjBQ2ZkTeux525uPESCFdM/ARahKY0MSPCb1b8ueDsOfj0eNyuxrwh86oq0in8BPZLVU1+UxoZFq9jT6DR9IW+qhdVZ</vt:lpwstr>
  </property>
  <property fmtid="{D5CDD505-2E9C-101B-9397-08002B2CF9AE}" pid="53" name="VS Team System Data DO NOT EDIT50">
    <vt:lpwstr>PQhEaecNJWd+Bg2lL2PJjufvNU5bP7twzR/5rP+7hd0faPoS67IzqBhvYFRn69frzCvzZD/qAZj+5MbEs9Dd0LjPxy/eBdPEUDj4vX8LrACK97fd3/OtqwCFPV9fR5PPny5uQKSpBR/p6VvN6r7o2F9vLjx+VquDLfCRk4kdxST1OJDvorCjeq9zR7qUf5arbhL98ZKElT/rn4lrYacheYqBBl2/VsUa/XI6lYDa3qXvpReEtRDcHr/yXbWyub6</vt:lpwstr>
  </property>
  <property fmtid="{D5CDD505-2E9C-101B-9397-08002B2CF9AE}" pid="54" name="VS Team System Data DO NOT EDIT51">
    <vt:lpwstr>/Xw+h2FtvTSkLnAyFMjx3x65dCKnUhtaabhboGJn3o8hdV34+1i8nn0sFhvVtvJsD95qULZ5nqdy3EvDv99fPzh/wE=</vt:lpwstr>
  </property>
  <property fmtid="{D5CDD505-2E9C-101B-9397-08002B2CF9AE}" pid="55" name="VS Team System Data DO NOT EDIT">
    <vt:i4>52</vt:i4>
  </property>
  <property fmtid="{D5CDD505-2E9C-101B-9397-08002B2CF9AE}" pid="56" name="VS Team System Additional Data DO NOT EDIT0">
    <vt:lpwstr>RVpSRwEAAABVj01rwkAQhv9K2HuyUSOWkEQsUhCKPaz1Pu5OdGE/ws4m2P76rlopPcxhhodn3rdZX63JJgykvWvZrCjZumuE+H/KEuSoZWNwNckLWqDcahk8+T7m0tt60jSCoTgq7euIYOmLItra972WSNEHOCPrmn2WlHuwSANI3CilY/oCZgsRxC/1/Jbw4w0/9LQZBqMl3NidowhO4m7LstgywbpS4VItAPNq/rLMFyXI/FRWmM+xQqzUTOF</vt:lpwstr>
  </property>
  <property fmtid="{D5CDD505-2E9C-101B-9397-08002B2CF9AE}" pid="57" name="VS Team System Additional Data DO NOT EDIT1">
    <vt:lpwstr>q1fDjn+2p+Azm6bjEOFDNucKpgO8xYJFa8ddRG/XhDigvzht/1kj8kMq9+dGpexq+UVY7TTE81mlRlPzdP6IKDFNqXwDZ6z0A36cRovsB</vt:lpwstr>
  </property>
  <property fmtid="{D5CDD505-2E9C-101B-9397-08002B2CF9AE}" pid="58" name="VS Team System Additional Data DO NOT EDIT">
    <vt:i4>2</vt:i4>
  </property>
</Properties>
</file>