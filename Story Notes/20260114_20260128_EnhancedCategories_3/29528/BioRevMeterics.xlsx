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botDevJustinPope\working-docs\Story Notes\20260114_20260128_EnhancedCategories_3\29528\"/>
    </mc:Choice>
  </mc:AlternateContent>
  <xr:revisionPtr revIDLastSave="0" documentId="8_{94069AB5-EC06-488E-8294-4C98194FCB1A}" xr6:coauthVersionLast="47" xr6:coauthVersionMax="47" xr10:uidLastSave="{00000000-0000-0000-0000-000000000000}"/>
  <bookViews>
    <workbookView xWindow="19090" yWindow="-14720" windowWidth="38620" windowHeight="21100" xr2:uid="{00000000-000D-0000-FFFF-FFFF00000000}"/>
  </bookViews>
  <sheets>
    <sheet name="Roger logging" sheetId="1" r:id="rId1"/>
    <sheet name="Straight Postman" sheetId="2" r:id="rId2"/>
    <sheet name="Roger vs Postman" sheetId="3" r:id="rId3"/>
  </sheets>
  <definedNames>
    <definedName name="_xlnm._FilterDatabase" localSheetId="0" hidden="1">'Roger logging'!$D$2:$J$9</definedName>
    <definedName name="_xlnm._FilterDatabase" localSheetId="1" hidden="1">'Straight Postman'!$A$1:$D$10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2" i="3"/>
  <c r="C4" i="1"/>
  <c r="C5" i="1"/>
  <c r="C6" i="1"/>
  <c r="C7" i="1"/>
  <c r="C8" i="1"/>
  <c r="C9" i="1"/>
  <c r="C10" i="1"/>
  <c r="C11" i="1"/>
  <c r="C3" i="1"/>
  <c r="C12" i="1" s="1"/>
  <c r="B4" i="1"/>
  <c r="B3" i="3" s="1"/>
  <c r="B5" i="1"/>
  <c r="B4" i="3" s="1"/>
  <c r="B6" i="1"/>
  <c r="B5" i="3" s="1"/>
  <c r="B7" i="1"/>
  <c r="B6" i="3" s="1"/>
  <c r="B8" i="1"/>
  <c r="B7" i="3" s="1"/>
  <c r="B9" i="1"/>
  <c r="B8" i="3" s="1"/>
  <c r="B10" i="1"/>
  <c r="B9" i="3" s="1"/>
  <c r="B11" i="1"/>
  <c r="B10" i="3" s="1"/>
  <c r="B3" i="1"/>
  <c r="B12" i="1" s="1"/>
  <c r="A3" i="1"/>
  <c r="A12" i="1" s="1"/>
  <c r="A4" i="1"/>
  <c r="A5" i="1"/>
  <c r="A6" i="1"/>
  <c r="A7" i="1"/>
  <c r="A8" i="1"/>
  <c r="A9" i="1"/>
  <c r="A10" i="1"/>
  <c r="A11" i="1"/>
  <c r="B2" i="3" l="1"/>
</calcChain>
</file>

<file path=xl/sharedStrings.xml><?xml version="1.0" encoding="utf-8"?>
<sst xmlns="http://schemas.openxmlformats.org/spreadsheetml/2006/main" count="45" uniqueCount="38">
  <si>
    <t>selection made</t>
  </si>
  <si>
    <t>BioRev Visualizer GetScene Start {Front End}</t>
  </si>
  <si>
    <t>Visualizer Controler GetScene Start {Backend}</t>
  </si>
  <si>
    <t>BioRev Provider Get render Start</t>
  </si>
  <si>
    <t>BioRev Provider Get render End</t>
  </si>
  <si>
    <t>Visualizer Controller GetScene End {Backend}</t>
  </si>
  <si>
    <t>BioRev Visualizer GetScene End {Front End}</t>
  </si>
  <si>
    <t>number</t>
  </si>
  <si>
    <t>scene</t>
  </si>
  <si>
    <t>details</t>
  </si>
  <si>
    <t>total time</t>
  </si>
  <si>
    <t>1-createScene</t>
  </si>
  <si>
    <t>master-bathroom</t>
  </si>
  <si>
    <t>cabinets=e53597de-bec5-4a52-b446-b3b7233785e3</t>
  </si>
  <si>
    <t>2-createScene</t>
  </si>
  <si>
    <t>cabinets=8bae0077-6efa-4c08-bb07-1860a6c569d0</t>
  </si>
  <si>
    <t>3-createScene</t>
  </si>
  <si>
    <t>cabinets=8bae0077-6efa-4c08-bb07-1860a6c569d0; countertops=d3708f7a-c8aa-4020-b0c5-f7423e005caf</t>
  </si>
  <si>
    <t>4-createScene</t>
  </si>
  <si>
    <t>cabinets=8bae0077-6efa-4c08-bb07-1860a6c569d0; countertops=beba38d2-351e-413e-b664-98f49f753187</t>
  </si>
  <si>
    <t>5-createScene</t>
  </si>
  <si>
    <t>kitchen</t>
  </si>
  <si>
    <t>cabinets=7fdfdff4-c67d-4bf4-a234-1d7db5669396</t>
  </si>
  <si>
    <t>6-createScene</t>
  </si>
  <si>
    <t>cabinets=7fdfdff4-c67d-4bf4-a234-1d7db5669396; countertop=beba38d2-351e-413e-b664-98f49f753187</t>
  </si>
  <si>
    <t>7-createScene</t>
  </si>
  <si>
    <t>cabinets=7fdfdff4-c67d-4bf4-a234-1d7db5669396; countertop=d3708f7a-c8aa-4020-b0c5-f7423e005caf</t>
  </si>
  <si>
    <t>8-createScene</t>
  </si>
  <si>
    <t>cabinets=7fdfdff4-c67d-4bf4-a234-1d7db5669396; countertop=d3708f7a-c8aa-4020-b0c5-f7423e005caf; electric-range=18c3e6f9-d3ef-4949-a3b4-d860074a0127</t>
  </si>
  <si>
    <t>9-createScene</t>
  </si>
  <si>
    <t>cabinets=7fdfdff4-c67d-4bf4-a234-1d7db5669396; countertop=d3708f7a-c8aa-4020-b0c5-f7423e005caf; electric-range=18c3e6f9-d3ef-4949-a3b4-d860074a0127; refrigerator=f07b076f-00a4-41ef-97ab-3686f696687b</t>
  </si>
  <si>
    <t>Calculations</t>
  </si>
  <si>
    <t>Data</t>
  </si>
  <si>
    <t>Scene</t>
  </si>
  <si>
    <t>Delta between Roger Server call and local Postman</t>
  </si>
  <si>
    <t>Cycle Time (seconds)</t>
  </si>
  <si>
    <t>Server BioRev Call (seconds)</t>
  </si>
  <si>
    <t>Backend to Frontend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</si>
</sst>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165" fontId="0" fillId="0" borderId="0" xfId="0" applyNumberFormat="1"/>
    <xf numFmtId="2" fontId="0" fillId="0" borderId="0" xfId="0" applyNumberFormat="1"/>
    <xf numFmtId="165" fontId="0" fillId="0" borderId="4" xfId="0" applyNumberFormat="1" applyBorder="1"/>
    <xf numFmtId="165" fontId="0" fillId="0" borderId="0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2" fillId="0" borderId="9" xfId="0" applyNumberFormat="1" applyFont="1" applyBorder="1"/>
    <xf numFmtId="2" fontId="2" fillId="0" borderId="10" xfId="0" applyNumberFormat="1" applyFont="1" applyBorder="1"/>
    <xf numFmtId="2" fontId="2" fillId="0" borderId="11" xfId="0" applyNumberFormat="1" applyFont="1" applyBorder="1"/>
    <xf numFmtId="165" fontId="3" fillId="0" borderId="9" xfId="0" applyNumberFormat="1" applyFont="1" applyBorder="1" applyAlignment="1">
      <alignment vertical="top" wrapText="1"/>
    </xf>
    <xf numFmtId="165" fontId="3" fillId="0" borderId="10" xfId="0" applyNumberFormat="1" applyFont="1" applyBorder="1" applyAlignment="1">
      <alignment vertical="top" wrapText="1"/>
    </xf>
    <xf numFmtId="165" fontId="2" fillId="2" borderId="9" xfId="0" applyNumberFormat="1" applyFont="1" applyFill="1" applyBorder="1" applyAlignment="1">
      <alignment horizontal="center"/>
    </xf>
    <xf numFmtId="165" fontId="2" fillId="2" borderId="10" xfId="0" applyNumberFormat="1" applyFont="1" applyFill="1" applyBorder="1" applyAlignment="1">
      <alignment horizontal="center"/>
    </xf>
    <xf numFmtId="165" fontId="2" fillId="2" borderId="11" xfId="0" applyNumberFormat="1" applyFont="1" applyFill="1" applyBorder="1" applyAlignment="1">
      <alignment horizontal="center"/>
    </xf>
    <xf numFmtId="2" fontId="2" fillId="2" borderId="9" xfId="0" applyNumberFormat="1" applyFont="1" applyFill="1" applyBorder="1" applyAlignment="1">
      <alignment horizontal="center"/>
    </xf>
    <xf numFmtId="2" fontId="2" fillId="2" borderId="10" xfId="0" applyNumberFormat="1" applyFont="1" applyFill="1" applyBorder="1" applyAlignment="1">
      <alignment horizontal="center"/>
    </xf>
    <xf numFmtId="2" fontId="2" fillId="2" borderId="11" xfId="0" applyNumberFormat="1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/>
    <xf numFmtId="0" fontId="0" fillId="0" borderId="0" xfId="0" applyAlignment="1">
      <alignment wrapText="1"/>
    </xf>
    <xf numFmtId="165" fontId="3" fillId="0" borderId="11" xfId="0" applyNumberFormat="1" applyFont="1" applyBorder="1" applyAlignment="1">
      <alignment vertical="top" wrapText="1"/>
    </xf>
    <xf numFmtId="165" fontId="0" fillId="0" borderId="5" xfId="0" applyNumberFormat="1" applyBorder="1"/>
    <xf numFmtId="165" fontId="0" fillId="0" borderId="8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2" topLeftCell="A3" activePane="bottomLeft" state="frozen"/>
      <selection pane="bottomLeft" activeCell="C22" sqref="C22"/>
    </sheetView>
  </sheetViews>
  <sheetFormatPr defaultRowHeight="14.4" x14ac:dyDescent="0.3"/>
  <cols>
    <col min="1" max="1" width="18.77734375" style="3" bestFit="1" customWidth="1"/>
    <col min="2" max="2" width="24.88671875" style="3" bestFit="1" customWidth="1"/>
    <col min="3" max="3" width="27.6640625" style="3" bestFit="1" customWidth="1"/>
    <col min="4" max="4" width="21.88671875" style="2" bestFit="1" customWidth="1"/>
    <col min="5" max="5" width="41.44140625" style="2" bestFit="1" customWidth="1"/>
    <col min="6" max="6" width="42.6640625" style="2" bestFit="1" customWidth="1"/>
    <col min="7" max="7" width="31.21875" style="2" bestFit="1" customWidth="1"/>
    <col min="8" max="8" width="30.33203125" style="2" bestFit="1" customWidth="1"/>
    <col min="9" max="9" width="42.21875" style="2" bestFit="1" customWidth="1"/>
    <col min="10" max="10" width="40.44140625" style="2" bestFit="1" customWidth="1"/>
  </cols>
  <sheetData>
    <row r="1" spans="1:10" ht="15" thickBot="1" x14ac:dyDescent="0.35">
      <c r="A1" s="25" t="s">
        <v>31</v>
      </c>
      <c r="B1" s="26"/>
      <c r="C1" s="27"/>
      <c r="D1" s="22" t="s">
        <v>32</v>
      </c>
      <c r="E1" s="23"/>
      <c r="F1" s="23"/>
      <c r="G1" s="23"/>
      <c r="H1" s="23"/>
      <c r="I1" s="23"/>
      <c r="J1" s="24"/>
    </row>
    <row r="2" spans="1:10" ht="15" thickBot="1" x14ac:dyDescent="0.35">
      <c r="A2" s="17" t="s">
        <v>35</v>
      </c>
      <c r="B2" s="18" t="s">
        <v>36</v>
      </c>
      <c r="C2" s="19" t="s">
        <v>37</v>
      </c>
      <c r="D2" s="20" t="s">
        <v>0</v>
      </c>
      <c r="E2" s="21" t="s">
        <v>1</v>
      </c>
      <c r="F2" s="21" t="s">
        <v>2</v>
      </c>
      <c r="G2" s="21" t="s">
        <v>3</v>
      </c>
      <c r="H2" s="21" t="s">
        <v>4</v>
      </c>
      <c r="I2" s="21" t="s">
        <v>5</v>
      </c>
      <c r="J2" s="31" t="s">
        <v>6</v>
      </c>
    </row>
    <row r="3" spans="1:10" x14ac:dyDescent="0.3">
      <c r="A3" s="8">
        <f>($J3-IF(ISBLANK($D3), $E3, $D3))*86400</f>
        <v>7.9999999841675162</v>
      </c>
      <c r="B3" s="9">
        <f>(H3-G3)*86400</f>
        <v>5.0869015976786613</v>
      </c>
      <c r="C3" s="10">
        <f>(J3-I3)*86400</f>
        <v>0.58209928683936596</v>
      </c>
      <c r="D3" s="4">
        <v>46049.53087962963</v>
      </c>
      <c r="E3" s="5">
        <v>46049.53087962963</v>
      </c>
      <c r="F3" s="5">
        <v>46049.530889960653</v>
      </c>
      <c r="G3" s="5">
        <v>46049.530906608787</v>
      </c>
      <c r="H3" s="5">
        <v>46049.530965484963</v>
      </c>
      <c r="I3" s="5">
        <v>46049.530965484963</v>
      </c>
      <c r="J3" s="32">
        <v>46049.530972222223</v>
      </c>
    </row>
    <row r="4" spans="1:10" x14ac:dyDescent="0.3">
      <c r="A4" s="11">
        <f t="shared" ref="A4:A11" si="0">($J4-IF(ISBLANK($D4), $E4, $D4))*86400</f>
        <v>7.9999999841675162</v>
      </c>
      <c r="B4" s="12">
        <f t="shared" ref="B4:B11" si="1">(H4-G4)*86400</f>
        <v>5.190100846812129</v>
      </c>
      <c r="C4" s="13">
        <f t="shared" ref="C4:C11" si="2">(J4-I4)*86400</f>
        <v>1.3478992972522974</v>
      </c>
      <c r="D4" s="4">
        <v>46049.531527777777</v>
      </c>
      <c r="E4" s="5">
        <v>46049.531539351847</v>
      </c>
      <c r="F4" s="5">
        <v>46049.531539981479</v>
      </c>
      <c r="G4" s="5">
        <v>46049.531544699072</v>
      </c>
      <c r="H4" s="5">
        <v>46049.531604769683</v>
      </c>
      <c r="I4" s="5">
        <v>46049.531604769683</v>
      </c>
      <c r="J4" s="32">
        <v>46049.53162037037</v>
      </c>
    </row>
    <row r="5" spans="1:10" x14ac:dyDescent="0.3">
      <c r="A5" s="11">
        <f t="shared" si="0"/>
        <v>7.9999999841675162</v>
      </c>
      <c r="B5" s="12">
        <f t="shared" si="1"/>
        <v>5.7214994681999087</v>
      </c>
      <c r="C5" s="13">
        <f t="shared" si="2"/>
        <v>1.2037999229505658</v>
      </c>
      <c r="D5" s="4">
        <v>46049.531724537039</v>
      </c>
      <c r="E5" s="5">
        <v>46049.531724537039</v>
      </c>
      <c r="F5" s="5">
        <v>46049.531732799769</v>
      </c>
      <c r="G5" s="5">
        <v>46049.531736975703</v>
      </c>
      <c r="H5" s="5">
        <v>46049.531803196762</v>
      </c>
      <c r="I5" s="5">
        <v>46049.531803196762</v>
      </c>
      <c r="J5" s="32">
        <v>46049.531817129631</v>
      </c>
    </row>
    <row r="6" spans="1:10" x14ac:dyDescent="0.3">
      <c r="A6" s="11">
        <f t="shared" si="0"/>
        <v>11.000000056810677</v>
      </c>
      <c r="B6" s="12">
        <f t="shared" si="1"/>
        <v>7.4134008726105094</v>
      </c>
      <c r="C6" s="13">
        <f t="shared" si="2"/>
        <v>2.3807995487004519</v>
      </c>
      <c r="D6" s="4">
        <v>46049.531886574077</v>
      </c>
      <c r="E6" s="5">
        <v>46049.531886574077</v>
      </c>
      <c r="F6" s="5">
        <v>46049.53189636227</v>
      </c>
      <c r="G6" s="5">
        <v>46049.531900530092</v>
      </c>
      <c r="H6" s="5">
        <v>46049.531986333343</v>
      </c>
      <c r="I6" s="5">
        <v>46049.531986333343</v>
      </c>
      <c r="J6" s="32">
        <v>46049.532013888893</v>
      </c>
    </row>
    <row r="7" spans="1:10" x14ac:dyDescent="0.3">
      <c r="A7" s="11">
        <f t="shared" si="0"/>
        <v>8.0000006128102541</v>
      </c>
      <c r="B7" s="12">
        <f t="shared" si="1"/>
        <v>1.0490997461602092</v>
      </c>
      <c r="C7" s="13">
        <f t="shared" si="2"/>
        <v>5.8454998768866062</v>
      </c>
      <c r="D7" s="4">
        <v>46049.558599537027</v>
      </c>
      <c r="E7" s="5">
        <v>46049.558599537027</v>
      </c>
      <c r="F7" s="5">
        <v>46049.558607974534</v>
      </c>
      <c r="G7" s="5">
        <v>46049.55861233102</v>
      </c>
      <c r="H7" s="5">
        <v>46049.558624473379</v>
      </c>
      <c r="I7" s="5">
        <v>46049.558624473379</v>
      </c>
      <c r="J7" s="32">
        <v>46049.558692129627</v>
      </c>
    </row>
    <row r="8" spans="1:10" x14ac:dyDescent="0.3">
      <c r="A8" s="11">
        <f t="shared" si="0"/>
        <v>12.000000919215381</v>
      </c>
      <c r="B8" s="12">
        <f t="shared" si="1"/>
        <v>7.2685993043705821</v>
      </c>
      <c r="C8" s="13">
        <f t="shared" si="2"/>
        <v>3.8657014723867178</v>
      </c>
      <c r="D8" s="4">
        <v>46049.558761574073</v>
      </c>
      <c r="E8" s="5">
        <v>46049.558761574073</v>
      </c>
      <c r="F8" s="5">
        <v>46049.558766770831</v>
      </c>
      <c r="G8" s="5">
        <v>46049.558771593751</v>
      </c>
      <c r="H8" s="5">
        <v>46049.558855721058</v>
      </c>
      <c r="I8" s="5">
        <v>46049.558855721058</v>
      </c>
      <c r="J8" s="32">
        <v>46049.558900462973</v>
      </c>
    </row>
    <row r="9" spans="1:10" x14ac:dyDescent="0.3">
      <c r="A9" s="11">
        <f t="shared" si="0"/>
        <v>16.00000059697777</v>
      </c>
      <c r="B9" s="12">
        <f t="shared" si="1"/>
        <v>11.547700013034046</v>
      </c>
      <c r="C9" s="13">
        <f t="shared" si="2"/>
        <v>3.0823007225990295</v>
      </c>
      <c r="D9" s="4">
        <v>46049.558981481481</v>
      </c>
      <c r="E9" s="5">
        <v>46049.558981481481</v>
      </c>
      <c r="F9" s="5">
        <v>46049.55899262616</v>
      </c>
      <c r="G9" s="5">
        <v>46049.558997337961</v>
      </c>
      <c r="H9" s="5">
        <v>46049.559130991896</v>
      </c>
      <c r="I9" s="5">
        <v>46049.559130991896</v>
      </c>
      <c r="J9" s="32">
        <v>46049.559166666673</v>
      </c>
    </row>
    <row r="10" spans="1:10" x14ac:dyDescent="0.3">
      <c r="A10" s="11">
        <f t="shared" si="0"/>
        <v>15.000000363215804</v>
      </c>
      <c r="B10" s="12">
        <f t="shared" si="1"/>
        <v>9.2520004604011774</v>
      </c>
      <c r="C10" s="13">
        <f t="shared" si="2"/>
        <v>4.619999835267663</v>
      </c>
      <c r="D10" s="4"/>
      <c r="E10" s="5">
        <v>46049.559282407405</v>
      </c>
      <c r="F10" s="5">
        <v>46049.559289826386</v>
      </c>
      <c r="G10" s="5">
        <v>46049.559295462961</v>
      </c>
      <c r="H10" s="5">
        <v>46049.5594025463</v>
      </c>
      <c r="I10" s="5">
        <v>46049.5594025463</v>
      </c>
      <c r="J10" s="32">
        <v>46049.55945601852</v>
      </c>
    </row>
    <row r="11" spans="1:10" ht="15" thickBot="1" x14ac:dyDescent="0.35">
      <c r="A11" s="14">
        <f t="shared" si="0"/>
        <v>14.000000129453838</v>
      </c>
      <c r="B11" s="15">
        <f t="shared" si="1"/>
        <v>8.5149998310953379</v>
      </c>
      <c r="C11" s="16">
        <f t="shared" si="2"/>
        <v>4.4080001302063465</v>
      </c>
      <c r="D11" s="6"/>
      <c r="E11" s="7">
        <v>46049.559479166666</v>
      </c>
      <c r="F11" s="7">
        <v>46049.559487071761</v>
      </c>
      <c r="G11" s="7">
        <v>46049.559491631946</v>
      </c>
      <c r="H11" s="7">
        <v>46049.559590185185</v>
      </c>
      <c r="I11" s="7">
        <v>46049.559590185185</v>
      </c>
      <c r="J11" s="33">
        <v>46049.559641203705</v>
      </c>
    </row>
    <row r="12" spans="1:10" x14ac:dyDescent="0.3">
      <c r="A12" s="3">
        <f>AVERAGE(A3:A11)</f>
        <v>11.111111403442919</v>
      </c>
      <c r="B12" s="3">
        <f t="shared" ref="B12:C12" si="3">AVERAGE(B3:B11)</f>
        <v>6.7827002378180623</v>
      </c>
      <c r="C12" s="3">
        <f t="shared" si="3"/>
        <v>3.0373444547876716</v>
      </c>
    </row>
  </sheetData>
  <autoFilter ref="D2:J9" xr:uid="{00000000-0009-0000-0000-000000000000}"/>
  <mergeCells count="2">
    <mergeCell ref="A1:C1"/>
    <mergeCell ref="D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5" customWidth="1"/>
    <col min="2" max="2" width="17" customWidth="1"/>
    <col min="3" max="3" width="80" style="29" customWidth="1"/>
    <col min="4" max="4" width="14" customWidth="1"/>
  </cols>
  <sheetData>
    <row r="1" spans="1:4" x14ac:dyDescent="0.3">
      <c r="A1" s="1" t="s">
        <v>7</v>
      </c>
      <c r="B1" s="1" t="s">
        <v>8</v>
      </c>
      <c r="C1" s="28" t="s">
        <v>9</v>
      </c>
      <c r="D1" s="1" t="s">
        <v>10</v>
      </c>
    </row>
    <row r="2" spans="1:4" x14ac:dyDescent="0.3">
      <c r="A2" t="s">
        <v>11</v>
      </c>
      <c r="B2" t="s">
        <v>12</v>
      </c>
      <c r="C2" s="30" t="s">
        <v>13</v>
      </c>
      <c r="D2">
        <v>0.98399999999999999</v>
      </c>
    </row>
    <row r="3" spans="1:4" x14ac:dyDescent="0.3">
      <c r="A3" t="s">
        <v>14</v>
      </c>
      <c r="B3" t="s">
        <v>12</v>
      </c>
      <c r="C3" s="30" t="s">
        <v>15</v>
      </c>
      <c r="D3">
        <v>0.80900000000000005</v>
      </c>
    </row>
    <row r="4" spans="1:4" ht="28.8" x14ac:dyDescent="0.3">
      <c r="A4" t="s">
        <v>16</v>
      </c>
      <c r="B4" t="s">
        <v>12</v>
      </c>
      <c r="C4" s="30" t="s">
        <v>17</v>
      </c>
      <c r="D4">
        <v>1.18</v>
      </c>
    </row>
    <row r="5" spans="1:4" ht="28.8" x14ac:dyDescent="0.3">
      <c r="A5" t="s">
        <v>18</v>
      </c>
      <c r="B5" t="s">
        <v>12</v>
      </c>
      <c r="C5" s="30" t="s">
        <v>19</v>
      </c>
      <c r="D5">
        <v>0.85</v>
      </c>
    </row>
    <row r="6" spans="1:4" x14ac:dyDescent="0.3">
      <c r="A6" t="s">
        <v>20</v>
      </c>
      <c r="B6" t="s">
        <v>21</v>
      </c>
      <c r="C6" s="30" t="s">
        <v>22</v>
      </c>
      <c r="D6">
        <v>1.19</v>
      </c>
    </row>
    <row r="7" spans="1:4" ht="28.8" x14ac:dyDescent="0.3">
      <c r="A7" t="s">
        <v>23</v>
      </c>
      <c r="B7" t="s">
        <v>21</v>
      </c>
      <c r="C7" s="30" t="s">
        <v>24</v>
      </c>
      <c r="D7">
        <v>2.56</v>
      </c>
    </row>
    <row r="8" spans="1:4" ht="28.8" x14ac:dyDescent="0.3">
      <c r="A8" t="s">
        <v>25</v>
      </c>
      <c r="B8" t="s">
        <v>21</v>
      </c>
      <c r="C8" s="30" t="s">
        <v>26</v>
      </c>
      <c r="D8">
        <v>2.27</v>
      </c>
    </row>
    <row r="9" spans="1:4" ht="28.8" x14ac:dyDescent="0.3">
      <c r="A9" t="s">
        <v>27</v>
      </c>
      <c r="B9" t="s">
        <v>21</v>
      </c>
      <c r="C9" s="30" t="s">
        <v>28</v>
      </c>
      <c r="D9">
        <v>7.05</v>
      </c>
    </row>
    <row r="10" spans="1:4" ht="43.2" x14ac:dyDescent="0.3">
      <c r="A10" t="s">
        <v>29</v>
      </c>
      <c r="B10" t="s">
        <v>21</v>
      </c>
      <c r="C10" s="30" t="s">
        <v>30</v>
      </c>
      <c r="D10">
        <v>1.55</v>
      </c>
    </row>
  </sheetData>
  <autoFilter ref="A1:D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F710-DCF7-41D0-BC47-F8CF15AB342E}">
  <dimension ref="A1:B10"/>
  <sheetViews>
    <sheetView workbookViewId="0">
      <selection activeCell="G48" sqref="G48"/>
    </sheetView>
  </sheetViews>
  <sheetFormatPr defaultRowHeight="14.4" x14ac:dyDescent="0.3"/>
  <cols>
    <col min="1" max="1" width="16" bestFit="1" customWidth="1"/>
    <col min="2" max="2" width="44.33203125" bestFit="1" customWidth="1"/>
  </cols>
  <sheetData>
    <row r="1" spans="1:2" x14ac:dyDescent="0.3">
      <c r="A1" t="s">
        <v>33</v>
      </c>
      <c r="B1" t="s">
        <v>34</v>
      </c>
    </row>
    <row r="2" spans="1:2" x14ac:dyDescent="0.3">
      <c r="A2" t="str">
        <f>'Straight Postman'!B2</f>
        <v>master-bathroom</v>
      </c>
      <c r="B2" s="3">
        <f>'Roger logging'!B3-'Straight Postman'!D2</f>
        <v>4.1029015976786614</v>
      </c>
    </row>
    <row r="3" spans="1:2" x14ac:dyDescent="0.3">
      <c r="A3" t="str">
        <f>'Straight Postman'!B3</f>
        <v>master-bathroom</v>
      </c>
      <c r="B3" s="3">
        <f>'Roger logging'!B4-'Straight Postman'!D3</f>
        <v>4.3811008468121289</v>
      </c>
    </row>
    <row r="4" spans="1:2" x14ac:dyDescent="0.3">
      <c r="A4" t="str">
        <f>'Straight Postman'!B4</f>
        <v>master-bathroom</v>
      </c>
      <c r="B4" s="3">
        <f>'Roger logging'!B5-'Straight Postman'!D4</f>
        <v>4.541499468199909</v>
      </c>
    </row>
    <row r="5" spans="1:2" x14ac:dyDescent="0.3">
      <c r="A5" t="str">
        <f>'Straight Postman'!B5</f>
        <v>master-bathroom</v>
      </c>
      <c r="B5" s="3">
        <f>'Roger logging'!B6-'Straight Postman'!D5</f>
        <v>6.5634008726105098</v>
      </c>
    </row>
    <row r="6" spans="1:2" x14ac:dyDescent="0.3">
      <c r="A6" t="str">
        <f>'Straight Postman'!B6</f>
        <v>kitchen</v>
      </c>
      <c r="B6" s="3">
        <f>'Roger logging'!B7-'Straight Postman'!D6</f>
        <v>-0.14090025383979077</v>
      </c>
    </row>
    <row r="7" spans="1:2" x14ac:dyDescent="0.3">
      <c r="A7" t="str">
        <f>'Straight Postman'!B7</f>
        <v>kitchen</v>
      </c>
      <c r="B7" s="3">
        <f>'Roger logging'!B8-'Straight Postman'!D7</f>
        <v>4.7085993043705816</v>
      </c>
    </row>
    <row r="8" spans="1:2" x14ac:dyDescent="0.3">
      <c r="A8" t="str">
        <f>'Straight Postman'!B8</f>
        <v>kitchen</v>
      </c>
      <c r="B8" s="3">
        <f>'Roger logging'!B9-'Straight Postman'!D8</f>
        <v>9.2777000130340461</v>
      </c>
    </row>
    <row r="9" spans="1:2" x14ac:dyDescent="0.3">
      <c r="A9" t="str">
        <f>'Straight Postman'!B9</f>
        <v>kitchen</v>
      </c>
      <c r="B9" s="3">
        <f>'Roger logging'!B10-'Straight Postman'!D9</f>
        <v>2.2020004604011776</v>
      </c>
    </row>
    <row r="10" spans="1:2" x14ac:dyDescent="0.3">
      <c r="A10" t="str">
        <f>'Straight Postman'!B10</f>
        <v>kitchen</v>
      </c>
      <c r="B10" s="3">
        <f>'Roger logging'!B11-'Straight Postman'!D10</f>
        <v>6.964999831095338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Roger logging</vt:lpstr>
      <vt:lpstr>Straight Postman</vt:lpstr>
      <vt:lpstr>Roger vs Postman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Pope</cp:lastModifiedBy>
  <dcterms:created xsi:type="dcterms:W3CDTF">2026-01-27T20:10:54Z</dcterms:created>
  <dcterms:modified xsi:type="dcterms:W3CDTF">2026-01-27T20:46:15Z</dcterms:modified>
</cp:coreProperties>
</file>